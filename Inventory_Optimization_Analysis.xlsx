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olin\OneDrive\Documents\Project\Inventory_Optimization\"/>
    </mc:Choice>
  </mc:AlternateContent>
  <xr:revisionPtr revIDLastSave="0" documentId="13_ncr:1_{0611EBEC-0A11-4D56-8AF8-F878B1F40DFF}" xr6:coauthVersionLast="47" xr6:coauthVersionMax="47" xr10:uidLastSave="{00000000-0000-0000-0000-000000000000}"/>
  <bookViews>
    <workbookView xWindow="-28920" yWindow="-120" windowWidth="29040" windowHeight="15720" activeTab="2" xr2:uid="{118D89F4-3F98-43DE-8830-8F3E873F4411}"/>
  </bookViews>
  <sheets>
    <sheet name="Inventory_Data" sheetId="1" r:id="rId1"/>
    <sheet name="Calculation" sheetId="2" r:id="rId2"/>
    <sheet name="ABC_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4" i="3" l="1"/>
  <c r="K25" i="3"/>
  <c r="K26" i="3"/>
  <c r="K32" i="3"/>
  <c r="K33" i="3"/>
  <c r="K38" i="3"/>
  <c r="E15" i="3"/>
  <c r="K15" i="3" s="1"/>
  <c r="E20" i="3"/>
  <c r="K20" i="3" s="1"/>
  <c r="E22" i="3"/>
  <c r="K22" i="3" s="1"/>
  <c r="E12" i="3"/>
  <c r="K12" i="3" s="1"/>
  <c r="E28" i="3"/>
  <c r="K28" i="3" s="1"/>
  <c r="E33" i="3"/>
  <c r="E32" i="3"/>
  <c r="E11" i="3"/>
  <c r="K11" i="3" s="1"/>
  <c r="E27" i="3"/>
  <c r="K27" i="3" s="1"/>
  <c r="E9" i="3"/>
  <c r="K9" i="3" s="1"/>
  <c r="E37" i="3"/>
  <c r="K37" i="3" s="1"/>
  <c r="E30" i="3"/>
  <c r="K30" i="3" s="1"/>
  <c r="E21" i="3"/>
  <c r="K21" i="3" s="1"/>
  <c r="E29" i="3"/>
  <c r="K29" i="3" s="1"/>
  <c r="E38" i="3"/>
  <c r="E24" i="3"/>
  <c r="E23" i="3"/>
  <c r="K23" i="3" s="1"/>
  <c r="E25" i="3"/>
  <c r="E18" i="3"/>
  <c r="K18" i="3" s="1"/>
  <c r="E17" i="3"/>
  <c r="K17" i="3" s="1"/>
  <c r="E19" i="3"/>
  <c r="K19" i="3" s="1"/>
  <c r="E26" i="3"/>
  <c r="E35" i="3"/>
  <c r="K35" i="3" s="1"/>
  <c r="E14" i="3"/>
  <c r="K14" i="3" s="1"/>
  <c r="E13" i="3"/>
  <c r="K13" i="3" s="1"/>
  <c r="E31" i="3"/>
  <c r="K31" i="3" s="1"/>
  <c r="E10" i="3"/>
  <c r="K10" i="3" s="1"/>
  <c r="E34" i="3"/>
  <c r="K34" i="3" s="1"/>
  <c r="E16" i="3"/>
  <c r="K16" i="3" s="1"/>
  <c r="E36" i="3"/>
  <c r="K36" i="3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2" i="1"/>
  <c r="A19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  <c r="A16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A11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A7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A3" i="2"/>
  <c r="E39" i="3" l="1"/>
  <c r="F9" i="3"/>
  <c r="F10" i="3" s="1"/>
  <c r="F11" i="3" s="1"/>
  <c r="A22" i="2"/>
  <c r="G9" i="3" l="1"/>
  <c r="H9" i="3" s="1"/>
  <c r="G10" i="3" l="1"/>
  <c r="H10" i="3" s="1"/>
  <c r="F12" i="3" l="1"/>
  <c r="G11" i="3"/>
  <c r="H11" i="3" s="1"/>
  <c r="F13" i="3" l="1"/>
  <c r="G12" i="3"/>
  <c r="H12" i="3" s="1"/>
  <c r="F14" i="3" l="1"/>
  <c r="G13" i="3"/>
  <c r="H13" i="3" s="1"/>
  <c r="F15" i="3" l="1"/>
  <c r="G14" i="3"/>
  <c r="H14" i="3" s="1"/>
  <c r="F16" i="3" l="1"/>
  <c r="G15" i="3"/>
  <c r="H15" i="3" s="1"/>
  <c r="F17" i="3" l="1"/>
  <c r="G16" i="3"/>
  <c r="H16" i="3" s="1"/>
  <c r="F18" i="3" l="1"/>
  <c r="G17" i="3"/>
  <c r="H17" i="3" s="1"/>
  <c r="F19" i="3" l="1"/>
  <c r="G18" i="3"/>
  <c r="H18" i="3" s="1"/>
  <c r="F20" i="3" l="1"/>
  <c r="G19" i="3"/>
  <c r="H19" i="3" s="1"/>
  <c r="F21" i="3" l="1"/>
  <c r="G20" i="3"/>
  <c r="H20" i="3" s="1"/>
  <c r="F22" i="3" l="1"/>
  <c r="G21" i="3"/>
  <c r="H21" i="3" s="1"/>
  <c r="F23" i="3" l="1"/>
  <c r="G22" i="3"/>
  <c r="H22" i="3" s="1"/>
  <c r="F24" i="3" l="1"/>
  <c r="G23" i="3"/>
  <c r="H23" i="3" s="1"/>
  <c r="F25" i="3" l="1"/>
  <c r="G24" i="3"/>
  <c r="H24" i="3" s="1"/>
  <c r="F26" i="3" l="1"/>
  <c r="G25" i="3"/>
  <c r="H25" i="3" s="1"/>
  <c r="F27" i="3" l="1"/>
  <c r="G26" i="3"/>
  <c r="H26" i="3" s="1"/>
  <c r="F28" i="3" l="1"/>
  <c r="G27" i="3"/>
  <c r="H27" i="3" s="1"/>
  <c r="F29" i="3" l="1"/>
  <c r="G28" i="3"/>
  <c r="H28" i="3" s="1"/>
  <c r="F30" i="3" l="1"/>
  <c r="G29" i="3"/>
  <c r="H29" i="3" s="1"/>
  <c r="F31" i="3" l="1"/>
  <c r="G30" i="3"/>
  <c r="H30" i="3" s="1"/>
  <c r="F32" i="3" l="1"/>
  <c r="G31" i="3"/>
  <c r="H31" i="3" s="1"/>
  <c r="F33" i="3" l="1"/>
  <c r="G32" i="3"/>
  <c r="H32" i="3" s="1"/>
  <c r="F34" i="3" l="1"/>
  <c r="G33" i="3"/>
  <c r="H33" i="3" s="1"/>
  <c r="F35" i="3" l="1"/>
  <c r="G34" i="3"/>
  <c r="H34" i="3" s="1"/>
  <c r="F36" i="3" l="1"/>
  <c r="G35" i="3"/>
  <c r="H35" i="3" s="1"/>
  <c r="F37" i="3" l="1"/>
  <c r="G36" i="3"/>
  <c r="H36" i="3" s="1"/>
  <c r="F38" i="3" l="1"/>
  <c r="G38" i="3" s="1"/>
  <c r="H38" i="3" s="1"/>
  <c r="G37" i="3"/>
  <c r="H37" i="3" s="1"/>
  <c r="J11" i="3" l="1"/>
  <c r="J9" i="3"/>
  <c r="J10" i="3"/>
</calcChain>
</file>

<file path=xl/sharedStrings.xml><?xml version="1.0" encoding="utf-8"?>
<sst xmlns="http://schemas.openxmlformats.org/spreadsheetml/2006/main" count="199" uniqueCount="107">
  <si>
    <t>SKU_ID</t>
  </si>
  <si>
    <t>Product_Name</t>
  </si>
  <si>
    <t>Category</t>
  </si>
  <si>
    <t>Annual_Demand</t>
  </si>
  <si>
    <t>Unit_Cost</t>
  </si>
  <si>
    <t>Ordering_Cost</t>
  </si>
  <si>
    <t>Holding_Pct</t>
  </si>
  <si>
    <t>Lead_Time</t>
  </si>
  <si>
    <t>Current_ROP</t>
  </si>
  <si>
    <t>Current_OQ</t>
  </si>
  <si>
    <t>Avg_Daily</t>
  </si>
  <si>
    <t>Std_Dev</t>
  </si>
  <si>
    <t>SKU001</t>
  </si>
  <si>
    <t>Soap Bar 100g</t>
  </si>
  <si>
    <t>Personal Care</t>
  </si>
  <si>
    <t>SKU002</t>
  </si>
  <si>
    <t>Rice 5kg</t>
  </si>
  <si>
    <t>Grocery</t>
  </si>
  <si>
    <t>SKU003</t>
  </si>
  <si>
    <t>Shampoo 200ml</t>
  </si>
  <si>
    <t>SKU004</t>
  </si>
  <si>
    <t>Detergent 1kg</t>
  </si>
  <si>
    <t>Household</t>
  </si>
  <si>
    <t>SKU005</t>
  </si>
  <si>
    <t>Cooking Oil 1L</t>
  </si>
  <si>
    <t>SKU006</t>
  </si>
  <si>
    <t>Toothpaste 100g</t>
  </si>
  <si>
    <t>SKU007</t>
  </si>
  <si>
    <t>Biscuits 200g</t>
  </si>
  <si>
    <t>Food</t>
  </si>
  <si>
    <t>SKU008</t>
  </si>
  <si>
    <t>Floor Cleaner 1L</t>
  </si>
  <si>
    <t>SKU009</t>
  </si>
  <si>
    <t>Milk Powder 500g</t>
  </si>
  <si>
    <t>SKU010</t>
  </si>
  <si>
    <t>Hand Wash 250ml</t>
  </si>
  <si>
    <t>SKU011</t>
  </si>
  <si>
    <t>Atta 10kg</t>
  </si>
  <si>
    <t>SKU012</t>
  </si>
  <si>
    <t>Chips 100g</t>
  </si>
  <si>
    <t>SKU013</t>
  </si>
  <si>
    <t>Dish Soap 500ml</t>
  </si>
  <si>
    <t>SKU014</t>
  </si>
  <si>
    <t>Body Lotion 200ml</t>
  </si>
  <si>
    <t>SKU015</t>
  </si>
  <si>
    <t>Sugar 1kg</t>
  </si>
  <si>
    <t>SKU016</t>
  </si>
  <si>
    <t>Instant Noodles</t>
  </si>
  <si>
    <t>SKU017</t>
  </si>
  <si>
    <t>Mosquito Repellent</t>
  </si>
  <si>
    <t>SKU018</t>
  </si>
  <si>
    <t>Coconut Oil 500ml</t>
  </si>
  <si>
    <t>SKU019</t>
  </si>
  <si>
    <t>Face Wash 100ml</t>
  </si>
  <si>
    <t>SKU020</t>
  </si>
  <si>
    <t>Cornflakes 500g</t>
  </si>
  <si>
    <t>SKU021</t>
  </si>
  <si>
    <t>Washing Powder 2kg</t>
  </si>
  <si>
    <t>SKU022</t>
  </si>
  <si>
    <t>Peanut Butter 400g</t>
  </si>
  <si>
    <t>SKU023</t>
  </si>
  <si>
    <t>Tomato Ketchup 1kg</t>
  </si>
  <si>
    <t>SKU024</t>
  </si>
  <si>
    <t>Talcum Powder 200g</t>
  </si>
  <si>
    <t>SKU025</t>
  </si>
  <si>
    <t>Sunflower Oil 1L</t>
  </si>
  <si>
    <t>SKU026</t>
  </si>
  <si>
    <t>Coffee 200g</t>
  </si>
  <si>
    <t>SKU027</t>
  </si>
  <si>
    <t>Sanitizer 500ml</t>
  </si>
  <si>
    <t>SKU028</t>
  </si>
  <si>
    <t>Basmati Rice 5kg</t>
  </si>
  <si>
    <t>SKU029</t>
  </si>
  <si>
    <t>Pasta 500g</t>
  </si>
  <si>
    <t>SKU030</t>
  </si>
  <si>
    <t>Moisturizer 150ml</t>
  </si>
  <si>
    <t xml:space="preserve"> Formula 1: EOQ (Economic Order Quantity)</t>
  </si>
  <si>
    <t>SQRT((2 × Annual_Demand × Ordering_Cost) ÷ (Unit_Cost × Holding_Pct))</t>
  </si>
  <si>
    <t>FORMULA 2: Safety Stock</t>
  </si>
  <si>
    <t>z score (95%) × Std_Dev × SQRT(Lead_Time)</t>
  </si>
  <si>
    <t>FORMULA 3: Reorder Point (ROP)</t>
  </si>
  <si>
    <t>(Avg_Daily_Demand × Lead_Time) + Safety_Stock</t>
  </si>
  <si>
    <t>FORMULA 4: Annual Holding Cost Comparison</t>
  </si>
  <si>
    <t>Current Annual Cost:</t>
  </si>
  <si>
    <t>(Current_OQ/2 × Unit_Cost × Holding_Pct) + (Annual_Demand/Current_OQ × Ordering_Cost)</t>
  </si>
  <si>
    <t>Optimized Annual Cost:</t>
  </si>
  <si>
    <t>(EOQ/2 × Unit_Cost × Holding_Pct) + (Annual_Demand/EOQ × Ordering_Cost)</t>
  </si>
  <si>
    <t>Savings:</t>
  </si>
  <si>
    <t>Current Cost - Optimized Cost</t>
  </si>
  <si>
    <t>EOQ</t>
  </si>
  <si>
    <t>Safety_Stock</t>
  </si>
  <si>
    <t>ROP</t>
  </si>
  <si>
    <t>Current_Annual_Cost(a)</t>
  </si>
  <si>
    <t>Optimized_Annual_Cost(b)</t>
  </si>
  <si>
    <t>Saving(a-b)</t>
  </si>
  <si>
    <t>Annual_Spend</t>
  </si>
  <si>
    <t>Cumualtive_Spend</t>
  </si>
  <si>
    <t>Cumulative(%)</t>
  </si>
  <si>
    <t>ABC</t>
  </si>
  <si>
    <t>Category_Report</t>
  </si>
  <si>
    <r>
      <t>A items</t>
    </r>
    <r>
      <rPr>
        <sz val="11"/>
        <color theme="1"/>
        <rFont val="Times New Roman"/>
        <family val="1"/>
      </rPr>
      <t xml:space="preserve"> — top 70% of total spend → high control needed</t>
    </r>
  </si>
  <si>
    <r>
      <t>B items</t>
    </r>
    <r>
      <rPr>
        <sz val="11"/>
        <color theme="1"/>
        <rFont val="Times New Roman"/>
        <family val="1"/>
      </rPr>
      <t xml:space="preserve"> — next 20% of spend → moderate control</t>
    </r>
  </si>
  <si>
    <r>
      <t>C items</t>
    </r>
    <r>
      <rPr>
        <sz val="11"/>
        <color theme="1"/>
        <rFont val="Times New Roman"/>
        <family val="1"/>
      </rPr>
      <t xml:space="preserve"> — bottom 10% of spend → low control, bulk ordering fine</t>
    </r>
  </si>
  <si>
    <t>A (70%)</t>
  </si>
  <si>
    <t>B (20%)</t>
  </si>
  <si>
    <t>C (10%)</t>
  </si>
  <si>
    <r>
      <t>ABC Analysis:</t>
    </r>
    <r>
      <rPr>
        <sz val="11"/>
        <color theme="1"/>
        <rFont val="Times New Roman"/>
        <family val="1"/>
      </rPr>
      <t xml:space="preserve"> Rank all SKUs by Annual Spend (Annual Demand × Unit Cost). Classify as: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</si>
</sst>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The Pareto Chart</a:t>
            </a:r>
            <a:endParaRPr lang="en-IN"/>
          </a:p>
        </c:rich>
      </c:tx>
      <c:overlay val="0"/>
      <c:spPr>
        <a:noFill/>
        <a:ln>
          <a:solidFill>
            <a:schemeClr val="accent5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ABC_Analysis!$K$8</c:f>
              <c:strCache>
                <c:ptCount val="1"/>
                <c:pt idx="0">
                  <c:v>Annual_Spend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ABC_Analysis!$B$9:$B$38</c:f>
              <c:strCache>
                <c:ptCount val="30"/>
                <c:pt idx="0">
                  <c:v>Atta 10kg</c:v>
                </c:pt>
                <c:pt idx="1">
                  <c:v>Basmati Rice 5kg</c:v>
                </c:pt>
                <c:pt idx="2">
                  <c:v>Milk Powder 500g</c:v>
                </c:pt>
                <c:pt idx="3">
                  <c:v>Cooking Oil 1L</c:v>
                </c:pt>
                <c:pt idx="4">
                  <c:v>Coffee 200g</c:v>
                </c:pt>
                <c:pt idx="5">
                  <c:v>Sunflower Oil 1L</c:v>
                </c:pt>
                <c:pt idx="6">
                  <c:v>Rice 5kg</c:v>
                </c:pt>
                <c:pt idx="7">
                  <c:v>Moisturizer 150ml</c:v>
                </c:pt>
                <c:pt idx="8">
                  <c:v>Washing Powder 2kg</c:v>
                </c:pt>
                <c:pt idx="9">
                  <c:v>Cornflakes 500g</c:v>
                </c:pt>
                <c:pt idx="10">
                  <c:v>Peanut Butter 400g</c:v>
                </c:pt>
                <c:pt idx="11">
                  <c:v>Shampoo 200ml</c:v>
                </c:pt>
                <c:pt idx="12">
                  <c:v>Body Lotion 200ml</c:v>
                </c:pt>
                <c:pt idx="13">
                  <c:v>Detergent 1kg</c:v>
                </c:pt>
                <c:pt idx="14">
                  <c:v>Coconut Oil 500ml</c:v>
                </c:pt>
                <c:pt idx="15">
                  <c:v>Mosquito Repellent</c:v>
                </c:pt>
                <c:pt idx="16">
                  <c:v>Face Wash 100ml</c:v>
                </c:pt>
                <c:pt idx="17">
                  <c:v>Tomato Ketchup 1kg</c:v>
                </c:pt>
                <c:pt idx="18">
                  <c:v>Hand Wash 250ml</c:v>
                </c:pt>
                <c:pt idx="19">
                  <c:v>Toothpaste 100g</c:v>
                </c:pt>
                <c:pt idx="20">
                  <c:v>Sugar 1kg</c:v>
                </c:pt>
                <c:pt idx="21">
                  <c:v>Dish Soap 500ml</c:v>
                </c:pt>
                <c:pt idx="22">
                  <c:v>Sanitizer 500ml</c:v>
                </c:pt>
                <c:pt idx="23">
                  <c:v>Floor Cleaner 1L</c:v>
                </c:pt>
                <c:pt idx="24">
                  <c:v>Biscuits 200g</c:v>
                </c:pt>
                <c:pt idx="25">
                  <c:v>Pasta 500g</c:v>
                </c:pt>
                <c:pt idx="26">
                  <c:v>Talcum Powder 200g</c:v>
                </c:pt>
                <c:pt idx="27">
                  <c:v>Soap Bar 100g</c:v>
                </c:pt>
                <c:pt idx="28">
                  <c:v>Chips 100g</c:v>
                </c:pt>
                <c:pt idx="29">
                  <c:v>Instant Noodles</c:v>
                </c:pt>
              </c:strCache>
            </c:strRef>
          </c:cat>
          <c:val>
            <c:numRef>
              <c:f>ABC_Analysis!$K$9:$K$38</c:f>
              <c:numCache>
                <c:formatCode>General</c:formatCode>
                <c:ptCount val="30"/>
                <c:pt idx="0">
                  <c:v>18</c:v>
                </c:pt>
                <c:pt idx="1">
                  <c:v>12.2</c:v>
                </c:pt>
                <c:pt idx="2">
                  <c:v>11.2</c:v>
                </c:pt>
                <c:pt idx="3">
                  <c:v>10.5</c:v>
                </c:pt>
                <c:pt idx="4">
                  <c:v>9.1</c:v>
                </c:pt>
                <c:pt idx="5">
                  <c:v>8.4</c:v>
                </c:pt>
                <c:pt idx="6">
                  <c:v>8.4</c:v>
                </c:pt>
                <c:pt idx="7">
                  <c:v>6.9</c:v>
                </c:pt>
                <c:pt idx="8">
                  <c:v>6.4</c:v>
                </c:pt>
                <c:pt idx="9">
                  <c:v>5.9</c:v>
                </c:pt>
                <c:pt idx="10">
                  <c:v>5.5</c:v>
                </c:pt>
                <c:pt idx="11">
                  <c:v>5.4</c:v>
                </c:pt>
                <c:pt idx="12">
                  <c:v>5</c:v>
                </c:pt>
                <c:pt idx="13">
                  <c:v>4.5</c:v>
                </c:pt>
                <c:pt idx="14">
                  <c:v>4.2</c:v>
                </c:pt>
                <c:pt idx="15">
                  <c:v>4</c:v>
                </c:pt>
                <c:pt idx="16">
                  <c:v>4</c:v>
                </c:pt>
                <c:pt idx="17">
                  <c:v>3.7</c:v>
                </c:pt>
                <c:pt idx="18">
                  <c:v>3.6</c:v>
                </c:pt>
                <c:pt idx="19">
                  <c:v>3.3</c:v>
                </c:pt>
                <c:pt idx="20">
                  <c:v>3.3</c:v>
                </c:pt>
                <c:pt idx="21">
                  <c:v>3.2</c:v>
                </c:pt>
                <c:pt idx="22">
                  <c:v>3.1</c:v>
                </c:pt>
                <c:pt idx="23">
                  <c:v>2.8</c:v>
                </c:pt>
                <c:pt idx="24">
                  <c:v>2.4</c:v>
                </c:pt>
                <c:pt idx="25">
                  <c:v>2.2999999999999998</c:v>
                </c:pt>
                <c:pt idx="26">
                  <c:v>1.8</c:v>
                </c:pt>
                <c:pt idx="27">
                  <c:v>1.5</c:v>
                </c:pt>
                <c:pt idx="28">
                  <c:v>1.5</c:v>
                </c:pt>
                <c:pt idx="29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D-43BC-9B22-00C84F19B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83010495"/>
        <c:axId val="683027295"/>
      </c:barChart>
      <c:lineChart>
        <c:grouping val="stacked"/>
        <c:varyColors val="0"/>
        <c:ser>
          <c:idx val="0"/>
          <c:order val="0"/>
          <c:tx>
            <c:strRef>
              <c:f>ABC_Analysis!$G$8</c:f>
              <c:strCache>
                <c:ptCount val="1"/>
                <c:pt idx="0">
                  <c:v>Cumulative(%)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ABC_Analysis!$B$9:$B$38</c:f>
              <c:strCache>
                <c:ptCount val="30"/>
                <c:pt idx="0">
                  <c:v>Atta 10kg</c:v>
                </c:pt>
                <c:pt idx="1">
                  <c:v>Basmati Rice 5kg</c:v>
                </c:pt>
                <c:pt idx="2">
                  <c:v>Milk Powder 500g</c:v>
                </c:pt>
                <c:pt idx="3">
                  <c:v>Cooking Oil 1L</c:v>
                </c:pt>
                <c:pt idx="4">
                  <c:v>Coffee 200g</c:v>
                </c:pt>
                <c:pt idx="5">
                  <c:v>Sunflower Oil 1L</c:v>
                </c:pt>
                <c:pt idx="6">
                  <c:v>Rice 5kg</c:v>
                </c:pt>
                <c:pt idx="7">
                  <c:v>Moisturizer 150ml</c:v>
                </c:pt>
                <c:pt idx="8">
                  <c:v>Washing Powder 2kg</c:v>
                </c:pt>
                <c:pt idx="9">
                  <c:v>Cornflakes 500g</c:v>
                </c:pt>
                <c:pt idx="10">
                  <c:v>Peanut Butter 400g</c:v>
                </c:pt>
                <c:pt idx="11">
                  <c:v>Shampoo 200ml</c:v>
                </c:pt>
                <c:pt idx="12">
                  <c:v>Body Lotion 200ml</c:v>
                </c:pt>
                <c:pt idx="13">
                  <c:v>Detergent 1kg</c:v>
                </c:pt>
                <c:pt idx="14">
                  <c:v>Coconut Oil 500ml</c:v>
                </c:pt>
                <c:pt idx="15">
                  <c:v>Mosquito Repellent</c:v>
                </c:pt>
                <c:pt idx="16">
                  <c:v>Face Wash 100ml</c:v>
                </c:pt>
                <c:pt idx="17">
                  <c:v>Tomato Ketchup 1kg</c:v>
                </c:pt>
                <c:pt idx="18">
                  <c:v>Hand Wash 250ml</c:v>
                </c:pt>
                <c:pt idx="19">
                  <c:v>Toothpaste 100g</c:v>
                </c:pt>
                <c:pt idx="20">
                  <c:v>Sugar 1kg</c:v>
                </c:pt>
                <c:pt idx="21">
                  <c:v>Dish Soap 500ml</c:v>
                </c:pt>
                <c:pt idx="22">
                  <c:v>Sanitizer 500ml</c:v>
                </c:pt>
                <c:pt idx="23">
                  <c:v>Floor Cleaner 1L</c:v>
                </c:pt>
                <c:pt idx="24">
                  <c:v>Biscuits 200g</c:v>
                </c:pt>
                <c:pt idx="25">
                  <c:v>Pasta 500g</c:v>
                </c:pt>
                <c:pt idx="26">
                  <c:v>Talcum Powder 200g</c:v>
                </c:pt>
                <c:pt idx="27">
                  <c:v>Soap Bar 100g</c:v>
                </c:pt>
                <c:pt idx="28">
                  <c:v>Chips 100g</c:v>
                </c:pt>
                <c:pt idx="29">
                  <c:v>Instant Noodles</c:v>
                </c:pt>
              </c:strCache>
            </c:strRef>
          </c:cat>
          <c:val>
            <c:numRef>
              <c:f>ABC_Analysis!$G$9:$G$38</c:f>
              <c:numCache>
                <c:formatCode>0</c:formatCode>
                <c:ptCount val="30"/>
                <c:pt idx="0">
                  <c:v>11.008837650224763</c:v>
                </c:pt>
                <c:pt idx="1">
                  <c:v>18.458151126876853</c:v>
                </c:pt>
                <c:pt idx="2">
                  <c:v>25.308094553683375</c:v>
                </c:pt>
                <c:pt idx="3">
                  <c:v>31.729916516314489</c:v>
                </c:pt>
                <c:pt idx="4">
                  <c:v>37.307727592428364</c:v>
                </c:pt>
                <c:pt idx="5">
                  <c:v>42.451301183450049</c:v>
                </c:pt>
                <c:pt idx="6">
                  <c:v>47.588758753554941</c:v>
                </c:pt>
                <c:pt idx="7">
                  <c:v>51.827161248891471</c:v>
                </c:pt>
                <c:pt idx="8">
                  <c:v>55.765878719305221</c:v>
                </c:pt>
                <c:pt idx="9">
                  <c:v>59.39879514387939</c:v>
                </c:pt>
                <c:pt idx="10">
                  <c:v>62.76260664811474</c:v>
                </c:pt>
                <c:pt idx="11">
                  <c:v>66.065257943182161</c:v>
                </c:pt>
                <c:pt idx="12">
                  <c:v>69.147732485245101</c:v>
                </c:pt>
                <c:pt idx="13">
                  <c:v>71.899941897801284</c:v>
                </c:pt>
                <c:pt idx="14">
                  <c:v>74.444206599186572</c:v>
                </c:pt>
                <c:pt idx="15">
                  <c:v>76.890614965903183</c:v>
                </c:pt>
                <c:pt idx="16">
                  <c:v>79.330907311703001</c:v>
                </c:pt>
                <c:pt idx="17">
                  <c:v>81.61829913458304</c:v>
                </c:pt>
                <c:pt idx="18">
                  <c:v>83.820066664627987</c:v>
                </c:pt>
                <c:pt idx="19">
                  <c:v>85.838353567169207</c:v>
                </c:pt>
                <c:pt idx="20">
                  <c:v>87.826060365126452</c:v>
                </c:pt>
                <c:pt idx="21">
                  <c:v>89.801535121250126</c:v>
                </c:pt>
                <c:pt idx="22">
                  <c:v>91.697501605455486</c:v>
                </c:pt>
                <c:pt idx="23">
                  <c:v>93.379407357573157</c:v>
                </c:pt>
                <c:pt idx="24">
                  <c:v>94.847252377603127</c:v>
                </c:pt>
                <c:pt idx="25">
                  <c:v>96.226415094339629</c:v>
                </c:pt>
                <c:pt idx="26">
                  <c:v>97.339530901195687</c:v>
                </c:pt>
                <c:pt idx="27">
                  <c:v>98.256934038714419</c:v>
                </c:pt>
                <c:pt idx="28">
                  <c:v>99.174337176233138</c:v>
                </c:pt>
                <c:pt idx="2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DD-43BC-9B22-00C84F19B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222623"/>
        <c:axId val="684197183"/>
      </c:lineChart>
      <c:catAx>
        <c:axId val="68301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027295"/>
        <c:crosses val="autoZero"/>
        <c:auto val="1"/>
        <c:lblAlgn val="ctr"/>
        <c:lblOffset val="100"/>
        <c:noMultiLvlLbl val="0"/>
      </c:catAx>
      <c:valAx>
        <c:axId val="683027295"/>
        <c:scaling>
          <c:orientation val="minMax"/>
          <c:max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\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010495"/>
        <c:crosses val="autoZero"/>
        <c:crossBetween val="between"/>
      </c:valAx>
      <c:valAx>
        <c:axId val="684197183"/>
        <c:scaling>
          <c:orientation val="minMax"/>
          <c:max val="100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22623"/>
        <c:crosses val="max"/>
        <c:crossBetween val="between"/>
      </c:valAx>
      <c:catAx>
        <c:axId val="684222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41971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596265</xdr:colOff>
      <xdr:row>9</xdr:row>
      <xdr:rowOff>304800</xdr:rowOff>
    </xdr:from>
    <xdr:to>
      <xdr:col>22</xdr:col>
      <xdr:colOff>554355</xdr:colOff>
      <xdr:row>21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58304B1-CC16-7724-93C5-97296F404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AC1A-DB84-4BD3-BBF7-C4C74BE95BDA}">
  <dimension ref="A1:R31"/>
  <sheetViews>
    <sheetView topLeftCell="A17" workbookViewId="0">
      <selection activeCell="A19" sqref="A19"/>
    </sheetView>
  </sheetViews>
  <sheetFormatPr defaultRowHeight="13.8" x14ac:dyDescent="0.25"/>
  <cols>
    <col min="1" max="7" width="8.88671875" style="2"/>
    <col min="8" max="8" width="8.5546875" style="2" bestFit="1" customWidth="1"/>
    <col min="9" max="12" width="8.88671875" style="2"/>
    <col min="13" max="13" width="8.88671875" style="5"/>
    <col min="14" max="14" width="12.77734375" style="2" bestFit="1" customWidth="1"/>
    <col min="15" max="15" width="9.88671875" style="2" bestFit="1" customWidth="1"/>
    <col min="16" max="16" width="23.88671875" style="2" bestFit="1" customWidth="1"/>
    <col min="17" max="17" width="26.21875" style="2" bestFit="1" customWidth="1"/>
    <col min="18" max="18" width="11.109375" style="2" bestFit="1" customWidth="1"/>
    <col min="19" max="16384" width="8.88671875" style="2"/>
  </cols>
  <sheetData>
    <row r="1" spans="1:18" ht="27.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8" t="s">
        <v>89</v>
      </c>
      <c r="N1" s="19" t="s">
        <v>90</v>
      </c>
      <c r="O1" s="19" t="s">
        <v>91</v>
      </c>
      <c r="P1" s="15" t="s">
        <v>92</v>
      </c>
      <c r="Q1" s="15" t="s">
        <v>93</v>
      </c>
      <c r="R1" s="15" t="s">
        <v>94</v>
      </c>
    </row>
    <row r="2" spans="1:18" ht="27.6" x14ac:dyDescent="0.25">
      <c r="A2" s="8" t="s">
        <v>12</v>
      </c>
      <c r="B2" s="8" t="s">
        <v>13</v>
      </c>
      <c r="C2" s="8" t="s">
        <v>14</v>
      </c>
      <c r="D2" s="8">
        <v>6000</v>
      </c>
      <c r="E2" s="8">
        <v>25</v>
      </c>
      <c r="F2" s="8">
        <v>200</v>
      </c>
      <c r="G2" s="20">
        <v>0.25</v>
      </c>
      <c r="H2" s="8">
        <v>5</v>
      </c>
      <c r="I2" s="8">
        <v>80</v>
      </c>
      <c r="J2" s="8">
        <v>300</v>
      </c>
      <c r="K2" s="8">
        <v>16.399999999999999</v>
      </c>
      <c r="L2" s="8">
        <v>4</v>
      </c>
      <c r="M2" s="21">
        <f>SQRT((2*Inventory_Data!D2*Inventory_Data!F2)/(Inventory_Data!E2*Inventory_Data!G2))</f>
        <v>619.6773353931867</v>
      </c>
      <c r="N2" s="22">
        <f>ROUND(1.65*Inventory_Data!L2*SQRT(Inventory_Data!I2),0)</f>
        <v>59</v>
      </c>
      <c r="O2" s="13">
        <f>ROUND((Inventory_Data!K2*Inventory_Data!I2)+Calculation!$A$7,0)</f>
        <v>1371</v>
      </c>
      <c r="P2" s="22">
        <f>((Inventory_Data!J2/2*Inventory_Data!E2*Inventory_Data!G2)+(Inventory_Data!D2/Inventory_Data!J2*Inventory_Data!F2))</f>
        <v>4937.5</v>
      </c>
      <c r="Q2" s="22">
        <f>((Calculation!$A$3/2*Inventory_Data!E2*Inventory_Data!G2)+(Inventory_Data!D2/Calculation!$A$3*Inventory_Data!F2))</f>
        <v>3872.9833462074166</v>
      </c>
      <c r="R2" s="12">
        <f>P2-Q2</f>
        <v>1064.5166537925834</v>
      </c>
    </row>
    <row r="3" spans="1:18" x14ac:dyDescent="0.25">
      <c r="A3" s="8" t="s">
        <v>15</v>
      </c>
      <c r="B3" s="8" t="s">
        <v>16</v>
      </c>
      <c r="C3" s="8" t="s">
        <v>17</v>
      </c>
      <c r="D3" s="8">
        <v>3000</v>
      </c>
      <c r="E3" s="8">
        <v>280</v>
      </c>
      <c r="F3" s="8">
        <v>350</v>
      </c>
      <c r="G3" s="20">
        <v>0.2</v>
      </c>
      <c r="H3" s="8">
        <v>7</v>
      </c>
      <c r="I3" s="8">
        <v>150</v>
      </c>
      <c r="J3" s="8">
        <v>200</v>
      </c>
      <c r="K3" s="8">
        <v>8.1999999999999993</v>
      </c>
      <c r="L3" s="8">
        <v>3</v>
      </c>
      <c r="M3" s="21">
        <f>SQRT((2*Inventory_Data!D3*Inventory_Data!F3)/(Inventory_Data!E3*Inventory_Data!G3))</f>
        <v>193.64916731037084</v>
      </c>
      <c r="N3" s="22">
        <f>ROUND(1.65*Inventory_Data!L3*SQRT(Inventory_Data!I3),0)</f>
        <v>61</v>
      </c>
      <c r="O3" s="13">
        <f>ROUND((Inventory_Data!K3*Inventory_Data!I3)+Calculation!$A$7,0)</f>
        <v>1289</v>
      </c>
      <c r="P3" s="22">
        <f>((Inventory_Data!J3/2*Inventory_Data!E3*Inventory_Data!G3)+(Inventory_Data!D3/Inventory_Data!J3*Inventory_Data!F3))</f>
        <v>10850</v>
      </c>
      <c r="Q3" s="22">
        <f>((Calculation!$A$3/2*Inventory_Data!E3*Inventory_Data!G3)+(Inventory_Data!D3/Calculation!$A$3*Inventory_Data!F3))</f>
        <v>19045.395604974972</v>
      </c>
      <c r="R3" s="12">
        <f t="shared" ref="R3:R31" si="0">P3-Q3</f>
        <v>-8195.3956049749722</v>
      </c>
    </row>
    <row r="4" spans="1:18" ht="27.6" x14ac:dyDescent="0.25">
      <c r="A4" s="8" t="s">
        <v>18</v>
      </c>
      <c r="B4" s="8" t="s">
        <v>19</v>
      </c>
      <c r="C4" s="8" t="s">
        <v>14</v>
      </c>
      <c r="D4" s="8">
        <v>4500</v>
      </c>
      <c r="E4" s="8">
        <v>120</v>
      </c>
      <c r="F4" s="8">
        <v>300</v>
      </c>
      <c r="G4" s="20">
        <v>0.25</v>
      </c>
      <c r="H4" s="8">
        <v>6</v>
      </c>
      <c r="I4" s="8">
        <v>100</v>
      </c>
      <c r="J4" s="8">
        <v>250</v>
      </c>
      <c r="K4" s="8">
        <v>12.3</v>
      </c>
      <c r="L4" s="8">
        <v>5</v>
      </c>
      <c r="M4" s="21">
        <f>SQRT((2*Inventory_Data!D4*Inventory_Data!F4)/(Inventory_Data!E4*Inventory_Data!G4))</f>
        <v>300</v>
      </c>
      <c r="N4" s="22">
        <f>ROUND(1.65*Inventory_Data!L4*SQRT(Inventory_Data!I4),0)</f>
        <v>83</v>
      </c>
      <c r="O4" s="13">
        <f>ROUND((Inventory_Data!K4*Inventory_Data!I4)+Calculation!$A$7,0)</f>
        <v>1289</v>
      </c>
      <c r="P4" s="22">
        <f>((Inventory_Data!J4/2*Inventory_Data!E4*Inventory_Data!G4)+(Inventory_Data!D4/Inventory_Data!J4*Inventory_Data!F4))</f>
        <v>9150</v>
      </c>
      <c r="Q4" s="22">
        <f>((Calculation!$A$3/2*Inventory_Data!E4*Inventory_Data!G4)+(Inventory_Data!D4/Calculation!$A$3*Inventory_Data!F4))</f>
        <v>11473.713163139473</v>
      </c>
      <c r="R4" s="12">
        <f t="shared" si="0"/>
        <v>-2323.7131631394732</v>
      </c>
    </row>
    <row r="5" spans="1:18" ht="27.6" x14ac:dyDescent="0.25">
      <c r="A5" s="8" t="s">
        <v>20</v>
      </c>
      <c r="B5" s="8" t="s">
        <v>21</v>
      </c>
      <c r="C5" s="8" t="s">
        <v>22</v>
      </c>
      <c r="D5" s="8">
        <v>5000</v>
      </c>
      <c r="E5" s="8">
        <v>90</v>
      </c>
      <c r="F5" s="8">
        <v>250</v>
      </c>
      <c r="G5" s="20">
        <v>0.22</v>
      </c>
      <c r="H5" s="8">
        <v>4</v>
      </c>
      <c r="I5" s="8">
        <v>120</v>
      </c>
      <c r="J5" s="8">
        <v>400</v>
      </c>
      <c r="K5" s="8">
        <v>13.7</v>
      </c>
      <c r="L5" s="8">
        <v>6</v>
      </c>
      <c r="M5" s="21">
        <f>SQRT((2*Inventory_Data!D5*Inventory_Data!F5)/(Inventory_Data!E5*Inventory_Data!G5))</f>
        <v>355.33452725935075</v>
      </c>
      <c r="N5" s="22">
        <f>ROUND(1.65*Inventory_Data!L5*SQRT(Inventory_Data!I5),0)</f>
        <v>108</v>
      </c>
      <c r="O5" s="13">
        <f>ROUND((Inventory_Data!K5*Inventory_Data!I5)+Calculation!$A$7,0)</f>
        <v>1703</v>
      </c>
      <c r="P5" s="22">
        <f>((Inventory_Data!J5/2*Inventory_Data!E5*Inventory_Data!G5)+(Inventory_Data!D5/Inventory_Data!J5*Inventory_Data!F5))</f>
        <v>7085</v>
      </c>
      <c r="Q5" s="22">
        <f>((Calculation!$A$3/2*Inventory_Data!E5*Inventory_Data!G5)+(Inventory_Data!D5/Calculation!$A$3*Inventory_Data!F5))</f>
        <v>8151.9844465422439</v>
      </c>
      <c r="R5" s="12">
        <f t="shared" si="0"/>
        <v>-1066.9844465422439</v>
      </c>
    </row>
    <row r="6" spans="1:18" ht="27.6" x14ac:dyDescent="0.25">
      <c r="A6" s="8" t="s">
        <v>23</v>
      </c>
      <c r="B6" s="8" t="s">
        <v>24</v>
      </c>
      <c r="C6" s="8" t="s">
        <v>17</v>
      </c>
      <c r="D6" s="8">
        <v>7000</v>
      </c>
      <c r="E6" s="8">
        <v>150</v>
      </c>
      <c r="F6" s="8">
        <v>380</v>
      </c>
      <c r="G6" s="20">
        <v>0.2</v>
      </c>
      <c r="H6" s="8">
        <v>8</v>
      </c>
      <c r="I6" s="8">
        <v>200</v>
      </c>
      <c r="J6" s="8">
        <v>350</v>
      </c>
      <c r="K6" s="8">
        <v>19.2</v>
      </c>
      <c r="L6" s="8">
        <v>8</v>
      </c>
      <c r="M6" s="21">
        <f>SQRT((2*Inventory_Data!D6*Inventory_Data!F6)/(Inventory_Data!E6*Inventory_Data!G6))</f>
        <v>421.10964526276683</v>
      </c>
      <c r="N6" s="22">
        <f>ROUND(1.65*Inventory_Data!L6*SQRT(Inventory_Data!I6),0)</f>
        <v>187</v>
      </c>
      <c r="O6" s="13">
        <f>ROUND((Inventory_Data!K6*Inventory_Data!I6)+Calculation!$A$7,0)</f>
        <v>3899</v>
      </c>
      <c r="P6" s="22">
        <f>((Inventory_Data!J6/2*Inventory_Data!E6*Inventory_Data!G6)+(Inventory_Data!D6/Inventory_Data!J6*Inventory_Data!F6))</f>
        <v>12850</v>
      </c>
      <c r="Q6" s="22">
        <f>((Calculation!$A$3/2*Inventory_Data!E6*Inventory_Data!G6)+(Inventory_Data!D6/Calculation!$A$3*Inventory_Data!F6))</f>
        <v>13587.716572944353</v>
      </c>
      <c r="R6" s="12">
        <f t="shared" si="0"/>
        <v>-737.71657294435317</v>
      </c>
    </row>
    <row r="7" spans="1:18" ht="27.6" x14ac:dyDescent="0.25">
      <c r="A7" s="8" t="s">
        <v>25</v>
      </c>
      <c r="B7" s="8" t="s">
        <v>26</v>
      </c>
      <c r="C7" s="8" t="s">
        <v>14</v>
      </c>
      <c r="D7" s="8">
        <v>5500</v>
      </c>
      <c r="E7" s="8">
        <v>60</v>
      </c>
      <c r="F7" s="8">
        <v>220</v>
      </c>
      <c r="G7" s="20">
        <v>0.25</v>
      </c>
      <c r="H7" s="8">
        <v>5</v>
      </c>
      <c r="I7" s="8">
        <v>90</v>
      </c>
      <c r="J7" s="8">
        <v>300</v>
      </c>
      <c r="K7" s="8">
        <v>15.1</v>
      </c>
      <c r="L7" s="8">
        <v>5</v>
      </c>
      <c r="M7" s="21">
        <f>SQRT((2*Inventory_Data!D7*Inventory_Data!F7)/(Inventory_Data!E7*Inventory_Data!G7))</f>
        <v>401.66320883712183</v>
      </c>
      <c r="N7" s="22">
        <f>ROUND(1.65*Inventory_Data!L7*SQRT(Inventory_Data!I7),0)</f>
        <v>78</v>
      </c>
      <c r="O7" s="13">
        <f>ROUND((Inventory_Data!K7*Inventory_Data!I7)+Calculation!$A$7,0)</f>
        <v>1418</v>
      </c>
      <c r="P7" s="22">
        <f>((Inventory_Data!J7/2*Inventory_Data!E7*Inventory_Data!G7)+(Inventory_Data!D7/Inventory_Data!J7*Inventory_Data!F7))</f>
        <v>6283.333333333333</v>
      </c>
      <c r="Q7" s="22">
        <f>((Calculation!$A$3/2*Inventory_Data!E7*Inventory_Data!G7)+(Inventory_Data!D7/Calculation!$A$3*Inventory_Data!F7))</f>
        <v>6600.2091191618065</v>
      </c>
      <c r="R7" s="12">
        <f t="shared" si="0"/>
        <v>-316.87578582847345</v>
      </c>
    </row>
    <row r="8" spans="1:18" ht="27.6" x14ac:dyDescent="0.25">
      <c r="A8" s="8" t="s">
        <v>27</v>
      </c>
      <c r="B8" s="8" t="s">
        <v>28</v>
      </c>
      <c r="C8" s="8" t="s">
        <v>29</v>
      </c>
      <c r="D8" s="8">
        <v>8000</v>
      </c>
      <c r="E8" s="8">
        <v>30</v>
      </c>
      <c r="F8" s="8">
        <v>180</v>
      </c>
      <c r="G8" s="20">
        <v>0.28000000000000003</v>
      </c>
      <c r="H8" s="8">
        <v>3</v>
      </c>
      <c r="I8" s="8">
        <v>70</v>
      </c>
      <c r="J8" s="8">
        <v>500</v>
      </c>
      <c r="K8" s="8">
        <v>21.9</v>
      </c>
      <c r="L8" s="8">
        <v>9</v>
      </c>
      <c r="M8" s="21">
        <f>SQRT((2*Inventory_Data!D8*Inventory_Data!F8)/(Inventory_Data!E8*Inventory_Data!G8))</f>
        <v>585.54004376911985</v>
      </c>
      <c r="N8" s="22">
        <f>ROUND(1.65*Inventory_Data!L8*SQRT(Inventory_Data!I8),0)</f>
        <v>124</v>
      </c>
      <c r="O8" s="13">
        <f>ROUND((Inventory_Data!K8*Inventory_Data!I8)+Calculation!$A$7,0)</f>
        <v>1592</v>
      </c>
      <c r="P8" s="22">
        <f>((Inventory_Data!J8/2*Inventory_Data!E8*Inventory_Data!G8)+(Inventory_Data!D8/Inventory_Data!J8*Inventory_Data!F8))</f>
        <v>4980</v>
      </c>
      <c r="Q8" s="22">
        <f>((Calculation!$A$3/2*Inventory_Data!E8*Inventory_Data!G8)+(Inventory_Data!D8/Calculation!$A$3*Inventory_Data!F8))</f>
        <v>4926.434816375835</v>
      </c>
      <c r="R8" s="12">
        <f t="shared" si="0"/>
        <v>53.565183624165002</v>
      </c>
    </row>
    <row r="9" spans="1:18" ht="41.4" x14ac:dyDescent="0.25">
      <c r="A9" s="8" t="s">
        <v>30</v>
      </c>
      <c r="B9" s="8" t="s">
        <v>31</v>
      </c>
      <c r="C9" s="8" t="s">
        <v>22</v>
      </c>
      <c r="D9" s="8">
        <v>2500</v>
      </c>
      <c r="E9" s="8">
        <v>110</v>
      </c>
      <c r="F9" s="8">
        <v>260</v>
      </c>
      <c r="G9" s="20">
        <v>0.22</v>
      </c>
      <c r="H9" s="8">
        <v>6</v>
      </c>
      <c r="I9" s="8">
        <v>80</v>
      </c>
      <c r="J9" s="8">
        <v>150</v>
      </c>
      <c r="K9" s="8">
        <v>6.8</v>
      </c>
      <c r="L9" s="8">
        <v>3</v>
      </c>
      <c r="M9" s="21">
        <f>SQRT((2*Inventory_Data!D9*Inventory_Data!F9)/(Inventory_Data!E9*Inventory_Data!G9))</f>
        <v>231.77361425421751</v>
      </c>
      <c r="N9" s="22">
        <f>ROUND(1.65*Inventory_Data!L9*SQRT(Inventory_Data!I9),0)</f>
        <v>44</v>
      </c>
      <c r="O9" s="13">
        <f>ROUND((Inventory_Data!K9*Inventory_Data!I9)+Calculation!$A$7,0)</f>
        <v>603</v>
      </c>
      <c r="P9" s="22">
        <f>((Inventory_Data!J9/2*Inventory_Data!E9*Inventory_Data!G9)+(Inventory_Data!D9/Inventory_Data!J9*Inventory_Data!F9))</f>
        <v>6148.3333333333339</v>
      </c>
      <c r="Q9" s="22">
        <f>((Calculation!$A$3/2*Inventory_Data!E9*Inventory_Data!G9)+(Inventory_Data!D9/Calculation!$A$3*Inventory_Data!F9))</f>
        <v>8547.0287478554019</v>
      </c>
      <c r="R9" s="12">
        <f t="shared" si="0"/>
        <v>-2398.6954145220679</v>
      </c>
    </row>
    <row r="10" spans="1:18" ht="41.4" x14ac:dyDescent="0.25">
      <c r="A10" s="8" t="s">
        <v>32</v>
      </c>
      <c r="B10" s="8" t="s">
        <v>33</v>
      </c>
      <c r="C10" s="8" t="s">
        <v>29</v>
      </c>
      <c r="D10" s="8">
        <v>3500</v>
      </c>
      <c r="E10" s="8">
        <v>320</v>
      </c>
      <c r="F10" s="8">
        <v>370</v>
      </c>
      <c r="G10" s="20">
        <v>0.2</v>
      </c>
      <c r="H10" s="8">
        <v>7</v>
      </c>
      <c r="I10" s="8">
        <v>130</v>
      </c>
      <c r="J10" s="8">
        <v>180</v>
      </c>
      <c r="K10" s="8">
        <v>9.6</v>
      </c>
      <c r="L10" s="8">
        <v>4</v>
      </c>
      <c r="M10" s="21">
        <f>SQRT((2*Inventory_Data!D10*Inventory_Data!F10)/(Inventory_Data!E10*Inventory_Data!G10))</f>
        <v>201.16846174288852</v>
      </c>
      <c r="N10" s="22">
        <f>ROUND(1.65*Inventory_Data!L10*SQRT(Inventory_Data!I10),0)</f>
        <v>75</v>
      </c>
      <c r="O10" s="13">
        <f>ROUND((Inventory_Data!K10*Inventory_Data!I10)+Calculation!$A$7,0)</f>
        <v>1307</v>
      </c>
      <c r="P10" s="22">
        <f>((Inventory_Data!J10/2*Inventory_Data!E10*Inventory_Data!G10)+(Inventory_Data!D10/Inventory_Data!J10*Inventory_Data!F10))</f>
        <v>12954.444444444443</v>
      </c>
      <c r="Q10" s="22">
        <f>((Calculation!$A$3/2*Inventory_Data!E10*Inventory_Data!G10)+(Inventory_Data!D10/Calculation!$A$3*Inventory_Data!F10))</f>
        <v>21919.471996473061</v>
      </c>
      <c r="R10" s="12">
        <f t="shared" si="0"/>
        <v>-8965.0275520286177</v>
      </c>
    </row>
    <row r="11" spans="1:18" ht="41.4" x14ac:dyDescent="0.25">
      <c r="A11" s="8" t="s">
        <v>34</v>
      </c>
      <c r="B11" s="8" t="s">
        <v>35</v>
      </c>
      <c r="C11" s="8" t="s">
        <v>14</v>
      </c>
      <c r="D11" s="8">
        <v>4800</v>
      </c>
      <c r="E11" s="8">
        <v>75</v>
      </c>
      <c r="F11" s="8">
        <v>230</v>
      </c>
      <c r="G11" s="20">
        <v>0.25</v>
      </c>
      <c r="H11" s="8">
        <v>5</v>
      </c>
      <c r="I11" s="8">
        <v>110</v>
      </c>
      <c r="J11" s="8">
        <v>260</v>
      </c>
      <c r="K11" s="8">
        <v>13.2</v>
      </c>
      <c r="L11" s="8">
        <v>5</v>
      </c>
      <c r="M11" s="21">
        <f>SQRT((2*Inventory_Data!D11*Inventory_Data!F11)/(Inventory_Data!E11*Inventory_Data!G11))</f>
        <v>343.16176943243545</v>
      </c>
      <c r="N11" s="22">
        <f>ROUND(1.65*Inventory_Data!L11*SQRT(Inventory_Data!I11),0)</f>
        <v>87</v>
      </c>
      <c r="O11" s="13">
        <f>ROUND((Inventory_Data!K11*Inventory_Data!I11)+Calculation!$A$7,0)</f>
        <v>1511</v>
      </c>
      <c r="P11" s="22">
        <f>((Inventory_Data!J11/2*Inventory_Data!E11*Inventory_Data!G11)+(Inventory_Data!D11/Inventory_Data!J11*Inventory_Data!F11))</f>
        <v>6683.6538461538457</v>
      </c>
      <c r="Q11" s="22">
        <f>((Calculation!$A$3/2*Inventory_Data!E11*Inventory_Data!G11)+(Inventory_Data!D11/Calculation!$A$3*Inventory_Data!F11))</f>
        <v>7591.0473585665368</v>
      </c>
      <c r="R11" s="12">
        <f t="shared" si="0"/>
        <v>-907.39351241269105</v>
      </c>
    </row>
    <row r="12" spans="1:18" x14ac:dyDescent="0.25">
      <c r="A12" s="8" t="s">
        <v>36</v>
      </c>
      <c r="B12" s="8" t="s">
        <v>37</v>
      </c>
      <c r="C12" s="8" t="s">
        <v>17</v>
      </c>
      <c r="D12" s="8">
        <v>4000</v>
      </c>
      <c r="E12" s="8">
        <v>450</v>
      </c>
      <c r="F12" s="8">
        <v>400</v>
      </c>
      <c r="G12" s="20">
        <v>0.2</v>
      </c>
      <c r="H12" s="8">
        <v>9</v>
      </c>
      <c r="I12" s="8">
        <v>180</v>
      </c>
      <c r="J12" s="8">
        <v>200</v>
      </c>
      <c r="K12" s="8">
        <v>11</v>
      </c>
      <c r="L12" s="8">
        <v>4</v>
      </c>
      <c r="M12" s="21">
        <f>SQRT((2*Inventory_Data!D12*Inventory_Data!F12)/(Inventory_Data!E12*Inventory_Data!G12))</f>
        <v>188.56180831641268</v>
      </c>
      <c r="N12" s="22">
        <f>ROUND(1.65*Inventory_Data!L12*SQRT(Inventory_Data!I12),0)</f>
        <v>89</v>
      </c>
      <c r="O12" s="13">
        <f>ROUND((Inventory_Data!K12*Inventory_Data!I12)+Calculation!$A$7,0)</f>
        <v>2039</v>
      </c>
      <c r="P12" s="22">
        <f>((Inventory_Data!J12/2*Inventory_Data!E12*Inventory_Data!G12)+(Inventory_Data!D12/Inventory_Data!J12*Inventory_Data!F12))</f>
        <v>17000</v>
      </c>
      <c r="Q12" s="22">
        <f>((Calculation!$A$3/2*Inventory_Data!E12*Inventory_Data!G12)+(Inventory_Data!D12/Calculation!$A$3*Inventory_Data!F12))</f>
        <v>30467.468990165013</v>
      </c>
      <c r="R12" s="12">
        <f t="shared" si="0"/>
        <v>-13467.468990165013</v>
      </c>
    </row>
    <row r="13" spans="1:18" ht="27.6" x14ac:dyDescent="0.25">
      <c r="A13" s="8" t="s">
        <v>38</v>
      </c>
      <c r="B13" s="8" t="s">
        <v>39</v>
      </c>
      <c r="C13" s="8" t="s">
        <v>29</v>
      </c>
      <c r="D13" s="8">
        <v>7500</v>
      </c>
      <c r="E13" s="8">
        <v>20</v>
      </c>
      <c r="F13" s="8">
        <v>170</v>
      </c>
      <c r="G13" s="20">
        <v>0.28000000000000003</v>
      </c>
      <c r="H13" s="8">
        <v>3</v>
      </c>
      <c r="I13" s="8">
        <v>60</v>
      </c>
      <c r="J13" s="8">
        <v>480</v>
      </c>
      <c r="K13" s="8">
        <v>20.5</v>
      </c>
      <c r="L13" s="8">
        <v>10</v>
      </c>
      <c r="M13" s="21">
        <f>SQRT((2*Inventory_Data!D13*Inventory_Data!F13)/(Inventory_Data!E13*Inventory_Data!G13))</f>
        <v>674.80155813182796</v>
      </c>
      <c r="N13" s="22">
        <f>ROUND(1.65*Inventory_Data!L13*SQRT(Inventory_Data!I13),0)</f>
        <v>128</v>
      </c>
      <c r="O13" s="13">
        <f>ROUND((Inventory_Data!K13*Inventory_Data!I13)+Calculation!$A$7,0)</f>
        <v>1289</v>
      </c>
      <c r="P13" s="22">
        <f>((Inventory_Data!J13/2*Inventory_Data!E13*Inventory_Data!G13)+(Inventory_Data!D13/Inventory_Data!J13*Inventory_Data!F13))</f>
        <v>4000.25</v>
      </c>
      <c r="Q13" s="22">
        <f>((Calculation!$A$3/2*Inventory_Data!E13*Inventory_Data!G13)+(Inventory_Data!D13/Calculation!$A$3*Inventory_Data!F13))</f>
        <v>3792.6189417736132</v>
      </c>
      <c r="R13" s="12">
        <f t="shared" si="0"/>
        <v>207.63105822638681</v>
      </c>
    </row>
    <row r="14" spans="1:18" ht="41.4" x14ac:dyDescent="0.25">
      <c r="A14" s="8" t="s">
        <v>40</v>
      </c>
      <c r="B14" s="8" t="s">
        <v>41</v>
      </c>
      <c r="C14" s="8" t="s">
        <v>22</v>
      </c>
      <c r="D14" s="8">
        <v>3800</v>
      </c>
      <c r="E14" s="8">
        <v>85</v>
      </c>
      <c r="F14" s="8">
        <v>240</v>
      </c>
      <c r="G14" s="20">
        <v>0.22</v>
      </c>
      <c r="H14" s="8">
        <v>5</v>
      </c>
      <c r="I14" s="8">
        <v>95</v>
      </c>
      <c r="J14" s="8">
        <v>210</v>
      </c>
      <c r="K14" s="8">
        <v>10.4</v>
      </c>
      <c r="L14" s="8">
        <v>4</v>
      </c>
      <c r="M14" s="21">
        <f>SQRT((2*Inventory_Data!D14*Inventory_Data!F14)/(Inventory_Data!E14*Inventory_Data!G14))</f>
        <v>312.31411583832016</v>
      </c>
      <c r="N14" s="22">
        <f>ROUND(1.65*Inventory_Data!L14*SQRT(Inventory_Data!I14),0)</f>
        <v>64</v>
      </c>
      <c r="O14" s="13">
        <f>ROUND((Inventory_Data!K14*Inventory_Data!I14)+Calculation!$A$7,0)</f>
        <v>1047</v>
      </c>
      <c r="P14" s="22">
        <f>((Inventory_Data!J14/2*Inventory_Data!E14*Inventory_Data!G14)+(Inventory_Data!D14/Inventory_Data!J14*Inventory_Data!F14))</f>
        <v>6306.3571428571431</v>
      </c>
      <c r="Q14" s="22">
        <f>((Calculation!$A$3/2*Inventory_Data!E14*Inventory_Data!G14)+(Inventory_Data!D14/Calculation!$A$3*Inventory_Data!F14))</f>
        <v>7265.7167574851137</v>
      </c>
      <c r="R14" s="12">
        <f t="shared" si="0"/>
        <v>-959.35961462797059</v>
      </c>
    </row>
    <row r="15" spans="1:18" ht="41.4" x14ac:dyDescent="0.25">
      <c r="A15" s="8" t="s">
        <v>42</v>
      </c>
      <c r="B15" s="8" t="s">
        <v>43</v>
      </c>
      <c r="C15" s="8" t="s">
        <v>14</v>
      </c>
      <c r="D15" s="8">
        <v>2800</v>
      </c>
      <c r="E15" s="8">
        <v>180</v>
      </c>
      <c r="F15" s="8">
        <v>280</v>
      </c>
      <c r="G15" s="20">
        <v>0.25</v>
      </c>
      <c r="H15" s="8">
        <v>6</v>
      </c>
      <c r="I15" s="8">
        <v>100</v>
      </c>
      <c r="J15" s="8">
        <v>160</v>
      </c>
      <c r="K15" s="8">
        <v>7.7</v>
      </c>
      <c r="L15" s="8">
        <v>3</v>
      </c>
      <c r="M15" s="21">
        <f>SQRT((2*Inventory_Data!D15*Inventory_Data!F15)/(Inventory_Data!E15*Inventory_Data!G15))</f>
        <v>186.66666666666666</v>
      </c>
      <c r="N15" s="22">
        <f>ROUND(1.65*Inventory_Data!L15*SQRT(Inventory_Data!I15),0)</f>
        <v>50</v>
      </c>
      <c r="O15" s="13">
        <f>ROUND((Inventory_Data!K15*Inventory_Data!I15)+Calculation!$A$7,0)</f>
        <v>829</v>
      </c>
      <c r="P15" s="22">
        <f>((Inventory_Data!J15/2*Inventory_Data!E15*Inventory_Data!G15)+(Inventory_Data!D15/Inventory_Data!J15*Inventory_Data!F15))</f>
        <v>8500</v>
      </c>
      <c r="Q15" s="22">
        <f>((Calculation!$A$3/2*Inventory_Data!E15*Inventory_Data!G15)+(Inventory_Data!D15/Calculation!$A$3*Inventory_Data!F15))</f>
        <v>15207.91460610779</v>
      </c>
      <c r="R15" s="12">
        <f t="shared" si="0"/>
        <v>-6707.91460610779</v>
      </c>
    </row>
    <row r="16" spans="1:18" ht="27.6" x14ac:dyDescent="0.25">
      <c r="A16" s="8" t="s">
        <v>44</v>
      </c>
      <c r="B16" s="8" t="s">
        <v>45</v>
      </c>
      <c r="C16" s="8" t="s">
        <v>17</v>
      </c>
      <c r="D16" s="8">
        <v>6500</v>
      </c>
      <c r="E16" s="8">
        <v>50</v>
      </c>
      <c r="F16" s="8">
        <v>210</v>
      </c>
      <c r="G16" s="20">
        <v>0.2</v>
      </c>
      <c r="H16" s="8">
        <v>4</v>
      </c>
      <c r="I16" s="8">
        <v>140</v>
      </c>
      <c r="J16" s="8">
        <v>380</v>
      </c>
      <c r="K16" s="8">
        <v>17.8</v>
      </c>
      <c r="L16" s="8">
        <v>7</v>
      </c>
      <c r="M16" s="21">
        <f>SQRT((2*Inventory_Data!D16*Inventory_Data!F16)/(Inventory_Data!E16*Inventory_Data!G16))</f>
        <v>522.49401910452525</v>
      </c>
      <c r="N16" s="22">
        <f>ROUND(1.65*Inventory_Data!L16*SQRT(Inventory_Data!I16),0)</f>
        <v>137</v>
      </c>
      <c r="O16" s="13">
        <f>ROUND((Inventory_Data!K16*Inventory_Data!I16)+Calculation!$A$7,0)</f>
        <v>2551</v>
      </c>
      <c r="P16" s="22">
        <f>((Inventory_Data!J16/2*Inventory_Data!E16*Inventory_Data!G16)+(Inventory_Data!D16/Inventory_Data!J16*Inventory_Data!F16))</f>
        <v>5492.105263157895</v>
      </c>
      <c r="Q16" s="22">
        <f>((Calculation!$A$3/2*Inventory_Data!E16*Inventory_Data!G16)+(Inventory_Data!D16/Calculation!$A$3*Inventory_Data!F16))</f>
        <v>5301.1459551214011</v>
      </c>
      <c r="R16" s="12">
        <f t="shared" si="0"/>
        <v>190.95930803649389</v>
      </c>
    </row>
    <row r="17" spans="1:18" ht="27.6" x14ac:dyDescent="0.25">
      <c r="A17" s="8" t="s">
        <v>46</v>
      </c>
      <c r="B17" s="8" t="s">
        <v>47</v>
      </c>
      <c r="C17" s="8" t="s">
        <v>29</v>
      </c>
      <c r="D17" s="8">
        <v>9000</v>
      </c>
      <c r="E17" s="8">
        <v>15</v>
      </c>
      <c r="F17" s="8">
        <v>160</v>
      </c>
      <c r="G17" s="20">
        <v>0.28000000000000003</v>
      </c>
      <c r="H17" s="8">
        <v>2</v>
      </c>
      <c r="I17" s="8">
        <v>50</v>
      </c>
      <c r="J17" s="8">
        <v>600</v>
      </c>
      <c r="K17" s="8">
        <v>24.7</v>
      </c>
      <c r="L17" s="8">
        <v>12</v>
      </c>
      <c r="M17" s="21">
        <f>SQRT((2*Inventory_Data!D17*Inventory_Data!F17)/(Inventory_Data!E17*Inventory_Data!G17))</f>
        <v>828.07867121082506</v>
      </c>
      <c r="N17" s="22">
        <f>ROUND(1.65*Inventory_Data!L17*SQRT(Inventory_Data!I17),0)</f>
        <v>140</v>
      </c>
      <c r="O17" s="13">
        <f>ROUND((Inventory_Data!K17*Inventory_Data!I17)+Calculation!$A$7,0)</f>
        <v>1294</v>
      </c>
      <c r="P17" s="22">
        <f>((Inventory_Data!J17/2*Inventory_Data!E17*Inventory_Data!G17)+(Inventory_Data!D17/Inventory_Data!J17*Inventory_Data!F17))</f>
        <v>3660</v>
      </c>
      <c r="Q17" s="22">
        <f>((Calculation!$A$3/2*Inventory_Data!E17*Inventory_Data!G17)+(Inventory_Data!D17/Calculation!$A$3*Inventory_Data!F17))</f>
        <v>3625.1124120501427</v>
      </c>
      <c r="R17" s="12">
        <f t="shared" si="0"/>
        <v>34.887587949857334</v>
      </c>
    </row>
    <row r="18" spans="1:18" ht="27.6" x14ac:dyDescent="0.25">
      <c r="A18" s="8" t="s">
        <v>48</v>
      </c>
      <c r="B18" s="8" t="s">
        <v>49</v>
      </c>
      <c r="C18" s="8" t="s">
        <v>22</v>
      </c>
      <c r="D18" s="8">
        <v>2000</v>
      </c>
      <c r="E18" s="8">
        <v>200</v>
      </c>
      <c r="F18" s="8">
        <v>300</v>
      </c>
      <c r="G18" s="20">
        <v>0.22</v>
      </c>
      <c r="H18" s="8">
        <v>7</v>
      </c>
      <c r="I18" s="8">
        <v>90</v>
      </c>
      <c r="J18" s="8">
        <v>120</v>
      </c>
      <c r="K18" s="8">
        <v>5.5</v>
      </c>
      <c r="L18" s="8">
        <v>2</v>
      </c>
      <c r="M18" s="21">
        <f>SQRT((2*Inventory_Data!D18*Inventory_Data!F18)/(Inventory_Data!E18*Inventory_Data!G18))</f>
        <v>165.1445647689541</v>
      </c>
      <c r="N18" s="22">
        <f>ROUND(1.65*Inventory_Data!L18*SQRT(Inventory_Data!I18),0)</f>
        <v>31</v>
      </c>
      <c r="O18" s="13">
        <f>ROUND((Inventory_Data!K18*Inventory_Data!I18)+Calculation!$A$7,0)</f>
        <v>554</v>
      </c>
      <c r="P18" s="22">
        <f>((Inventory_Data!J18/2*Inventory_Data!E18*Inventory_Data!G18)+(Inventory_Data!D18/Inventory_Data!J18*Inventory_Data!F18))</f>
        <v>7640</v>
      </c>
      <c r="Q18" s="22">
        <f>((Calculation!$A$3/2*Inventory_Data!E18*Inventory_Data!G18)+(Inventory_Data!D18/Calculation!$A$3*Inventory_Data!F18))</f>
        <v>14601.147215201961</v>
      </c>
      <c r="R18" s="12">
        <f t="shared" si="0"/>
        <v>-6961.1472152019614</v>
      </c>
    </row>
    <row r="19" spans="1:18" ht="27.6" x14ac:dyDescent="0.25">
      <c r="A19" s="8" t="s">
        <v>50</v>
      </c>
      <c r="B19" s="8" t="s">
        <v>51</v>
      </c>
      <c r="C19" s="8" t="s">
        <v>17</v>
      </c>
      <c r="D19" s="8">
        <v>3200</v>
      </c>
      <c r="E19" s="8">
        <v>130</v>
      </c>
      <c r="F19" s="8">
        <v>270</v>
      </c>
      <c r="G19" s="20">
        <v>0.2</v>
      </c>
      <c r="H19" s="8">
        <v>6</v>
      </c>
      <c r="I19" s="8">
        <v>110</v>
      </c>
      <c r="J19" s="8">
        <v>175</v>
      </c>
      <c r="K19" s="8">
        <v>8.8000000000000007</v>
      </c>
      <c r="L19" s="8">
        <v>3</v>
      </c>
      <c r="M19" s="21">
        <f>SQRT((2*Inventory_Data!D19*Inventory_Data!F19)/(Inventory_Data!E19*Inventory_Data!G19))</f>
        <v>257.80135465419585</v>
      </c>
      <c r="N19" s="22">
        <f>ROUND(1.65*Inventory_Data!L19*SQRT(Inventory_Data!I19),0)</f>
        <v>52</v>
      </c>
      <c r="O19" s="13">
        <f>ROUND((Inventory_Data!K19*Inventory_Data!I19)+Calculation!$A$7,0)</f>
        <v>1027</v>
      </c>
      <c r="P19" s="22">
        <f>((Inventory_Data!J19/2*Inventory_Data!E19*Inventory_Data!G19)+(Inventory_Data!D19/Inventory_Data!J19*Inventory_Data!F19))</f>
        <v>7212.1428571428569</v>
      </c>
      <c r="Q19" s="22">
        <f>((Calculation!$A$3/2*Inventory_Data!E19*Inventory_Data!G19)+(Inventory_Data!D19/Calculation!$A$3*Inventory_Data!F19))</f>
        <v>9450.0793647460978</v>
      </c>
      <c r="R19" s="12">
        <f t="shared" si="0"/>
        <v>-2237.9365076032409</v>
      </c>
    </row>
    <row r="20" spans="1:18" ht="41.4" x14ac:dyDescent="0.25">
      <c r="A20" s="8" t="s">
        <v>52</v>
      </c>
      <c r="B20" s="8" t="s">
        <v>53</v>
      </c>
      <c r="C20" s="8" t="s">
        <v>14</v>
      </c>
      <c r="D20" s="8">
        <v>4200</v>
      </c>
      <c r="E20" s="8">
        <v>95</v>
      </c>
      <c r="F20" s="8">
        <v>245</v>
      </c>
      <c r="G20" s="20">
        <v>0.25</v>
      </c>
      <c r="H20" s="8">
        <v>5</v>
      </c>
      <c r="I20" s="8">
        <v>105</v>
      </c>
      <c r="J20" s="8">
        <v>230</v>
      </c>
      <c r="K20" s="8">
        <v>11.5</v>
      </c>
      <c r="L20" s="8">
        <v>5</v>
      </c>
      <c r="M20" s="21">
        <f>SQRT((2*Inventory_Data!D20*Inventory_Data!F20)/(Inventory_Data!E20*Inventory_Data!G20))</f>
        <v>294.36819050119425</v>
      </c>
      <c r="N20" s="22">
        <f>ROUND(1.65*Inventory_Data!L20*SQRT(Inventory_Data!I20),0)</f>
        <v>85</v>
      </c>
      <c r="O20" s="13">
        <f>ROUND((Inventory_Data!K20*Inventory_Data!I20)+Calculation!$A$7,0)</f>
        <v>1267</v>
      </c>
      <c r="P20" s="22">
        <f>((Inventory_Data!J20/2*Inventory_Data!E20*Inventory_Data!G20)+(Inventory_Data!D20/Inventory_Data!J20*Inventory_Data!F20))</f>
        <v>7205.163043478261</v>
      </c>
      <c r="Q20" s="22">
        <f>((Calculation!$A$3/2*Inventory_Data!E20*Inventory_Data!G20)+(Inventory_Data!D20/Calculation!$A$3*Inventory_Data!F20))</f>
        <v>9019.2099674805213</v>
      </c>
      <c r="R20" s="12">
        <f t="shared" si="0"/>
        <v>-1814.0469240022603</v>
      </c>
    </row>
    <row r="21" spans="1:18" ht="27.6" x14ac:dyDescent="0.25">
      <c r="A21" s="8" t="s">
        <v>54</v>
      </c>
      <c r="B21" s="8" t="s">
        <v>55</v>
      </c>
      <c r="C21" s="8" t="s">
        <v>29</v>
      </c>
      <c r="D21" s="8">
        <v>3600</v>
      </c>
      <c r="E21" s="8">
        <v>165</v>
      </c>
      <c r="F21" s="8">
        <v>290</v>
      </c>
      <c r="G21" s="20">
        <v>0.25</v>
      </c>
      <c r="H21" s="8">
        <v>6</v>
      </c>
      <c r="I21" s="8">
        <v>120</v>
      </c>
      <c r="J21" s="8">
        <v>195</v>
      </c>
      <c r="K21" s="8">
        <v>9.9</v>
      </c>
      <c r="L21" s="8">
        <v>4</v>
      </c>
      <c r="M21" s="21">
        <f>SQRT((2*Inventory_Data!D21*Inventory_Data!F21)/(Inventory_Data!E21*Inventory_Data!G21))</f>
        <v>224.9848479746621</v>
      </c>
      <c r="N21" s="22">
        <f>ROUND(1.65*Inventory_Data!L21*SQRT(Inventory_Data!I21),0)</f>
        <v>72</v>
      </c>
      <c r="O21" s="13">
        <f>ROUND((Inventory_Data!K21*Inventory_Data!I21)+Calculation!$A$7,0)</f>
        <v>1247</v>
      </c>
      <c r="P21" s="22">
        <f>((Inventory_Data!J21/2*Inventory_Data!E21*Inventory_Data!G21)+(Inventory_Data!D21/Inventory_Data!J21*Inventory_Data!F21))</f>
        <v>9375.7211538461524</v>
      </c>
      <c r="Q21" s="22">
        <f>((Calculation!$A$3/2*Inventory_Data!E21*Inventory_Data!G21)+(Inventory_Data!D21/Calculation!$A$3*Inventory_Data!F21))</f>
        <v>14465.592798084703</v>
      </c>
      <c r="R21" s="12">
        <f t="shared" si="0"/>
        <v>-5089.8716442385503</v>
      </c>
    </row>
    <row r="22" spans="1:18" ht="41.4" x14ac:dyDescent="0.25">
      <c r="A22" s="8" t="s">
        <v>56</v>
      </c>
      <c r="B22" s="8" t="s">
        <v>57</v>
      </c>
      <c r="C22" s="8" t="s">
        <v>22</v>
      </c>
      <c r="D22" s="8">
        <v>4600</v>
      </c>
      <c r="E22" s="8">
        <v>140</v>
      </c>
      <c r="F22" s="8">
        <v>265</v>
      </c>
      <c r="G22" s="20">
        <v>0.22</v>
      </c>
      <c r="H22" s="8">
        <v>5</v>
      </c>
      <c r="I22" s="8">
        <v>115</v>
      </c>
      <c r="J22" s="8">
        <v>255</v>
      </c>
      <c r="K22" s="8">
        <v>12.6</v>
      </c>
      <c r="L22" s="8">
        <v>5</v>
      </c>
      <c r="M22" s="21">
        <f>SQRT((2*Inventory_Data!D22*Inventory_Data!F22)/(Inventory_Data!E22*Inventory_Data!G22))</f>
        <v>281.34648417182001</v>
      </c>
      <c r="N22" s="22">
        <f>ROUND(1.65*Inventory_Data!L22*SQRT(Inventory_Data!I22),0)</f>
        <v>88</v>
      </c>
      <c r="O22" s="13">
        <f>ROUND((Inventory_Data!K22*Inventory_Data!I22)+Calculation!$A$7,0)</f>
        <v>1508</v>
      </c>
      <c r="P22" s="22">
        <f>((Inventory_Data!J22/2*Inventory_Data!E22*Inventory_Data!G22)+(Inventory_Data!D22/Inventory_Data!J22*Inventory_Data!F22))</f>
        <v>8707.3921568627447</v>
      </c>
      <c r="Q22" s="22">
        <f>((Calculation!$A$3/2*Inventory_Data!E22*Inventory_Data!G22)+(Inventory_Data!D22/Calculation!$A$3*Inventory_Data!F22))</f>
        <v>11510.183756316259</v>
      </c>
      <c r="R22" s="12">
        <f t="shared" si="0"/>
        <v>-2802.7915994535142</v>
      </c>
    </row>
    <row r="23" spans="1:18" ht="41.4" x14ac:dyDescent="0.25">
      <c r="A23" s="8" t="s">
        <v>58</v>
      </c>
      <c r="B23" s="8" t="s">
        <v>59</v>
      </c>
      <c r="C23" s="8" t="s">
        <v>29</v>
      </c>
      <c r="D23" s="8">
        <v>2200</v>
      </c>
      <c r="E23" s="8">
        <v>250</v>
      </c>
      <c r="F23" s="8">
        <v>320</v>
      </c>
      <c r="G23" s="20">
        <v>0.25</v>
      </c>
      <c r="H23" s="8">
        <v>7</v>
      </c>
      <c r="I23" s="8">
        <v>95</v>
      </c>
      <c r="J23" s="8">
        <v>130</v>
      </c>
      <c r="K23" s="8">
        <v>6</v>
      </c>
      <c r="L23" s="8">
        <v>3</v>
      </c>
      <c r="M23" s="21">
        <f>SQRT((2*Inventory_Data!D23*Inventory_Data!F23)/(Inventory_Data!E23*Inventory_Data!G23))</f>
        <v>150.09330431434975</v>
      </c>
      <c r="N23" s="22">
        <f>ROUND(1.65*Inventory_Data!L23*SQRT(Inventory_Data!I23),0)</f>
        <v>48</v>
      </c>
      <c r="O23" s="13">
        <f>ROUND((Inventory_Data!K23*Inventory_Data!I23)+Calculation!$A$7,0)</f>
        <v>629</v>
      </c>
      <c r="P23" s="22">
        <f>((Inventory_Data!J23/2*Inventory_Data!E23*Inventory_Data!G23)+(Inventory_Data!D23/Inventory_Data!J23*Inventory_Data!F23))</f>
        <v>9477.8846153846152</v>
      </c>
      <c r="Q23" s="22">
        <f>((Calculation!$A$3/2*Inventory_Data!E23*Inventory_Data!G23)+(Inventory_Data!D23/Calculation!$A$3*Inventory_Data!F23))</f>
        <v>20500.991845924593</v>
      </c>
      <c r="R23" s="12">
        <f t="shared" si="0"/>
        <v>-11023.107230539978</v>
      </c>
    </row>
    <row r="24" spans="1:18" ht="41.4" x14ac:dyDescent="0.25">
      <c r="A24" s="8" t="s">
        <v>60</v>
      </c>
      <c r="B24" s="8" t="s">
        <v>61</v>
      </c>
      <c r="C24" s="8" t="s">
        <v>29</v>
      </c>
      <c r="D24" s="8">
        <v>3400</v>
      </c>
      <c r="E24" s="8">
        <v>110</v>
      </c>
      <c r="F24" s="8">
        <v>255</v>
      </c>
      <c r="G24" s="20">
        <v>0.25</v>
      </c>
      <c r="H24" s="8">
        <v>5</v>
      </c>
      <c r="I24" s="8">
        <v>100</v>
      </c>
      <c r="J24" s="8">
        <v>185</v>
      </c>
      <c r="K24" s="8">
        <v>9.3000000000000007</v>
      </c>
      <c r="L24" s="8">
        <v>4</v>
      </c>
      <c r="M24" s="21">
        <f>SQRT((2*Inventory_Data!D24*Inventory_Data!F24)/(Inventory_Data!E24*Inventory_Data!G24))</f>
        <v>251.10664159783877</v>
      </c>
      <c r="N24" s="22">
        <f>ROUND(1.65*Inventory_Data!L24*SQRT(Inventory_Data!I24),0)</f>
        <v>66</v>
      </c>
      <c r="O24" s="13">
        <f>ROUND((Inventory_Data!K24*Inventory_Data!I24)+Calculation!$A$7,0)</f>
        <v>989</v>
      </c>
      <c r="P24" s="22">
        <f>((Inventory_Data!J24/2*Inventory_Data!E24*Inventory_Data!G24)+(Inventory_Data!D24/Inventory_Data!J24*Inventory_Data!F24))</f>
        <v>7230.2364864864867</v>
      </c>
      <c r="Q24" s="22">
        <f>((Calculation!$A$3/2*Inventory_Data!E24*Inventory_Data!G24)+(Inventory_Data!D24/Calculation!$A$3*Inventory_Data!F24))</f>
        <v>9919.6785954737461</v>
      </c>
      <c r="R24" s="12">
        <f t="shared" si="0"/>
        <v>-2689.4421089872594</v>
      </c>
    </row>
    <row r="25" spans="1:18" ht="41.4" x14ac:dyDescent="0.25">
      <c r="A25" s="8" t="s">
        <v>62</v>
      </c>
      <c r="B25" s="8" t="s">
        <v>63</v>
      </c>
      <c r="C25" s="8" t="s">
        <v>14</v>
      </c>
      <c r="D25" s="8">
        <v>2600</v>
      </c>
      <c r="E25" s="8">
        <v>70</v>
      </c>
      <c r="F25" s="8">
        <v>215</v>
      </c>
      <c r="G25" s="20">
        <v>0.25</v>
      </c>
      <c r="H25" s="8">
        <v>5</v>
      </c>
      <c r="I25" s="8">
        <v>85</v>
      </c>
      <c r="J25" s="8">
        <v>150</v>
      </c>
      <c r="K25" s="8">
        <v>7.1</v>
      </c>
      <c r="L25" s="8">
        <v>3</v>
      </c>
      <c r="M25" s="21">
        <f>SQRT((2*Inventory_Data!D25*Inventory_Data!F25)/(Inventory_Data!E25*Inventory_Data!G25))</f>
        <v>252.75623490967396</v>
      </c>
      <c r="N25" s="22">
        <f>ROUND(1.65*Inventory_Data!L25*SQRT(Inventory_Data!I25),0)</f>
        <v>46</v>
      </c>
      <c r="O25" s="13">
        <f>ROUND((Inventory_Data!K25*Inventory_Data!I25)+Calculation!$A$7,0)</f>
        <v>663</v>
      </c>
      <c r="P25" s="22">
        <f>((Inventory_Data!J25/2*Inventory_Data!E25*Inventory_Data!G25)+(Inventory_Data!D25/Inventory_Data!J25*Inventory_Data!F25))</f>
        <v>5039.1666666666661</v>
      </c>
      <c r="Q25" s="22">
        <f>((Calculation!$A$3/2*Inventory_Data!E25*Inventory_Data!G25)+(Inventory_Data!D25/Calculation!$A$3*Inventory_Data!F25))</f>
        <v>6324.2590557445283</v>
      </c>
      <c r="R25" s="12">
        <f t="shared" si="0"/>
        <v>-1285.0923890778622</v>
      </c>
    </row>
    <row r="26" spans="1:18" ht="27.6" x14ac:dyDescent="0.25">
      <c r="A26" s="8" t="s">
        <v>64</v>
      </c>
      <c r="B26" s="8" t="s">
        <v>65</v>
      </c>
      <c r="C26" s="8" t="s">
        <v>17</v>
      </c>
      <c r="D26" s="8">
        <v>5800</v>
      </c>
      <c r="E26" s="8">
        <v>145</v>
      </c>
      <c r="F26" s="8">
        <v>310</v>
      </c>
      <c r="G26" s="20">
        <v>0.2</v>
      </c>
      <c r="H26" s="8">
        <v>7</v>
      </c>
      <c r="I26" s="8">
        <v>160</v>
      </c>
      <c r="J26" s="8">
        <v>320</v>
      </c>
      <c r="K26" s="8">
        <v>15.9</v>
      </c>
      <c r="L26" s="8">
        <v>6</v>
      </c>
      <c r="M26" s="21">
        <f>SQRT((2*Inventory_Data!D26*Inventory_Data!F26)/(Inventory_Data!E26*Inventory_Data!G26))</f>
        <v>352.1363372331802</v>
      </c>
      <c r="N26" s="22">
        <f>ROUND(1.65*Inventory_Data!L26*SQRT(Inventory_Data!I26),0)</f>
        <v>125</v>
      </c>
      <c r="O26" s="13">
        <f>ROUND((Inventory_Data!K26*Inventory_Data!I26)+Calculation!$A$7,0)</f>
        <v>2603</v>
      </c>
      <c r="P26" s="22">
        <f>((Inventory_Data!J26/2*Inventory_Data!E26*Inventory_Data!G26)+(Inventory_Data!D26/Inventory_Data!J26*Inventory_Data!F26))</f>
        <v>10258.75</v>
      </c>
      <c r="Q26" s="22">
        <f>((Calculation!$A$3/2*Inventory_Data!E26*Inventory_Data!G26)+(Inventory_Data!D26/Calculation!$A$3*Inventory_Data!F26))</f>
        <v>11886.831386734932</v>
      </c>
      <c r="R26" s="12">
        <f t="shared" si="0"/>
        <v>-1628.0813867349316</v>
      </c>
    </row>
    <row r="27" spans="1:18" ht="27.6" x14ac:dyDescent="0.25">
      <c r="A27" s="8" t="s">
        <v>66</v>
      </c>
      <c r="B27" s="8" t="s">
        <v>67</v>
      </c>
      <c r="C27" s="8" t="s">
        <v>29</v>
      </c>
      <c r="D27" s="8">
        <v>2400</v>
      </c>
      <c r="E27" s="8">
        <v>380</v>
      </c>
      <c r="F27" s="8">
        <v>360</v>
      </c>
      <c r="G27" s="20">
        <v>0.22</v>
      </c>
      <c r="H27" s="8">
        <v>8</v>
      </c>
      <c r="I27" s="8">
        <v>120</v>
      </c>
      <c r="J27" s="8">
        <v>140</v>
      </c>
      <c r="K27" s="8">
        <v>6.6</v>
      </c>
      <c r="L27" s="8">
        <v>3</v>
      </c>
      <c r="M27" s="21">
        <f>SQRT((2*Inventory_Data!D27*Inventory_Data!F27)/(Inventory_Data!E27*Inventory_Data!G27))</f>
        <v>143.77015148955692</v>
      </c>
      <c r="N27" s="22">
        <f>ROUND(1.65*Inventory_Data!L27*SQRT(Inventory_Data!I27),0)</f>
        <v>54</v>
      </c>
      <c r="O27" s="13">
        <f>ROUND((Inventory_Data!K27*Inventory_Data!I27)+Calculation!$A$7,0)</f>
        <v>851</v>
      </c>
      <c r="P27" s="22">
        <f>((Inventory_Data!J27/2*Inventory_Data!E27*Inventory_Data!G27)+(Inventory_Data!D27/Inventory_Data!J27*Inventory_Data!F27))</f>
        <v>12023.428571428572</v>
      </c>
      <c r="Q27" s="22">
        <f>((Calculation!$A$3/2*Inventory_Data!E27*Inventory_Data!G27)+(Inventory_Data!D27/Calculation!$A$3*Inventory_Data!F27))</f>
        <v>27296.786624069875</v>
      </c>
      <c r="R27" s="12">
        <f t="shared" si="0"/>
        <v>-15273.358052641302</v>
      </c>
    </row>
    <row r="28" spans="1:18" ht="27.6" x14ac:dyDescent="0.25">
      <c r="A28" s="8" t="s">
        <v>68</v>
      </c>
      <c r="B28" s="8" t="s">
        <v>69</v>
      </c>
      <c r="C28" s="8" t="s">
        <v>14</v>
      </c>
      <c r="D28" s="8">
        <v>3100</v>
      </c>
      <c r="E28" s="8">
        <v>100</v>
      </c>
      <c r="F28" s="8">
        <v>235</v>
      </c>
      <c r="G28" s="20">
        <v>0.25</v>
      </c>
      <c r="H28" s="8">
        <v>4</v>
      </c>
      <c r="I28" s="8">
        <v>90</v>
      </c>
      <c r="J28" s="8">
        <v>170</v>
      </c>
      <c r="K28" s="8">
        <v>8.5</v>
      </c>
      <c r="L28" s="8">
        <v>4</v>
      </c>
      <c r="M28" s="21">
        <f>SQRT((2*Inventory_Data!D28*Inventory_Data!F28)/(Inventory_Data!E28*Inventory_Data!G28))</f>
        <v>241.41251003210252</v>
      </c>
      <c r="N28" s="22">
        <f>ROUND(1.65*Inventory_Data!L28*SQRT(Inventory_Data!I28),0)</f>
        <v>63</v>
      </c>
      <c r="O28" s="13">
        <f>ROUND((Inventory_Data!K28*Inventory_Data!I28)+Calculation!$A$7,0)</f>
        <v>824</v>
      </c>
      <c r="P28" s="22">
        <f>((Inventory_Data!J28/2*Inventory_Data!E28*Inventory_Data!G28)+(Inventory_Data!D28/Inventory_Data!J28*Inventory_Data!F28))</f>
        <v>6410.2941176470586</v>
      </c>
      <c r="Q28" s="22">
        <f>((Calculation!$A$3/2*Inventory_Data!E28*Inventory_Data!G28)+(Inventory_Data!D28/Calculation!$A$3*Inventory_Data!F28))</f>
        <v>8921.5785122948764</v>
      </c>
      <c r="R28" s="12">
        <f t="shared" si="0"/>
        <v>-2511.2843946478179</v>
      </c>
    </row>
    <row r="29" spans="1:18" ht="27.6" x14ac:dyDescent="0.25">
      <c r="A29" s="8" t="s">
        <v>70</v>
      </c>
      <c r="B29" s="8" t="s">
        <v>71</v>
      </c>
      <c r="C29" s="8" t="s">
        <v>17</v>
      </c>
      <c r="D29" s="8">
        <v>2900</v>
      </c>
      <c r="E29" s="8">
        <v>420</v>
      </c>
      <c r="F29" s="8">
        <v>390</v>
      </c>
      <c r="G29" s="20">
        <v>0.2</v>
      </c>
      <c r="H29" s="8">
        <v>9</v>
      </c>
      <c r="I29" s="8">
        <v>155</v>
      </c>
      <c r="J29" s="8">
        <v>160</v>
      </c>
      <c r="K29" s="8">
        <v>7.9</v>
      </c>
      <c r="L29" s="8">
        <v>3</v>
      </c>
      <c r="M29" s="21">
        <f>SQRT((2*Inventory_Data!D29*Inventory_Data!F29)/(Inventory_Data!E29*Inventory_Data!G29))</f>
        <v>164.09927308971064</v>
      </c>
      <c r="N29" s="22">
        <f>ROUND(1.65*Inventory_Data!L29*SQRT(Inventory_Data!I29),0)</f>
        <v>62</v>
      </c>
      <c r="O29" s="13">
        <f>ROUND((Inventory_Data!K29*Inventory_Data!I29)+Calculation!$A$7,0)</f>
        <v>1284</v>
      </c>
      <c r="P29" s="22">
        <f>((Inventory_Data!J29/2*Inventory_Data!E29*Inventory_Data!G29)+(Inventory_Data!D29/Inventory_Data!J29*Inventory_Data!F29))</f>
        <v>13788.75</v>
      </c>
      <c r="Q29" s="22">
        <f>((Calculation!$A$3/2*Inventory_Data!E29*Inventory_Data!G29)+(Inventory_Data!D29/Calculation!$A$3*Inventory_Data!F29))</f>
        <v>27851.591488414088</v>
      </c>
      <c r="R29" s="12">
        <f t="shared" si="0"/>
        <v>-14062.841488414088</v>
      </c>
    </row>
    <row r="30" spans="1:18" ht="27.6" x14ac:dyDescent="0.25">
      <c r="A30" s="8" t="s">
        <v>72</v>
      </c>
      <c r="B30" s="8" t="s">
        <v>73</v>
      </c>
      <c r="C30" s="8" t="s">
        <v>29</v>
      </c>
      <c r="D30" s="8">
        <v>4100</v>
      </c>
      <c r="E30" s="8">
        <v>55</v>
      </c>
      <c r="F30" s="8">
        <v>205</v>
      </c>
      <c r="G30" s="20">
        <v>0.25</v>
      </c>
      <c r="H30" s="8">
        <v>4</v>
      </c>
      <c r="I30" s="8">
        <v>95</v>
      </c>
      <c r="J30" s="8">
        <v>225</v>
      </c>
      <c r="K30" s="8">
        <v>11.2</v>
      </c>
      <c r="L30" s="8">
        <v>5</v>
      </c>
      <c r="M30" s="21">
        <f>SQRT((2*Inventory_Data!D30*Inventory_Data!F30)/(Inventory_Data!E30*Inventory_Data!G30))</f>
        <v>349.64917482320112</v>
      </c>
      <c r="N30" s="22">
        <f>ROUND(1.65*Inventory_Data!L30*SQRT(Inventory_Data!I30),0)</f>
        <v>80</v>
      </c>
      <c r="O30" s="13">
        <f>ROUND((Inventory_Data!K30*Inventory_Data!I30)+Calculation!$A$7,0)</f>
        <v>1123</v>
      </c>
      <c r="P30" s="22">
        <f>((Inventory_Data!J30/2*Inventory_Data!E30*Inventory_Data!G30)+(Inventory_Data!D30/Inventory_Data!J30*Inventory_Data!F30))</f>
        <v>5282.4305555555547</v>
      </c>
      <c r="Q30" s="22">
        <f>((Calculation!$A$3/2*Inventory_Data!E30*Inventory_Data!G30)+(Inventory_Data!D30/Calculation!$A$3*Inventory_Data!F30))</f>
        <v>5616.6327235312147</v>
      </c>
      <c r="R30" s="12">
        <f t="shared" si="0"/>
        <v>-334.2021679756599</v>
      </c>
    </row>
    <row r="31" spans="1:18" ht="27.6" x14ac:dyDescent="0.25">
      <c r="A31" s="8" t="s">
        <v>74</v>
      </c>
      <c r="B31" s="8" t="s">
        <v>75</v>
      </c>
      <c r="C31" s="8" t="s">
        <v>14</v>
      </c>
      <c r="D31" s="8">
        <v>3300</v>
      </c>
      <c r="E31" s="8">
        <v>210</v>
      </c>
      <c r="F31" s="8">
        <v>330</v>
      </c>
      <c r="G31" s="20">
        <v>0.25</v>
      </c>
      <c r="H31" s="8">
        <v>6</v>
      </c>
      <c r="I31" s="8">
        <v>115</v>
      </c>
      <c r="J31" s="8">
        <v>180</v>
      </c>
      <c r="K31" s="8">
        <v>9</v>
      </c>
      <c r="L31" s="8">
        <v>4</v>
      </c>
      <c r="M31" s="21">
        <f>SQRT((2*Inventory_Data!D31*Inventory_Data!F31)/(Inventory_Data!E31*Inventory_Data!G31))</f>
        <v>203.6804219499613</v>
      </c>
      <c r="N31" s="22">
        <f>ROUND(1.65*Inventory_Data!L31*SQRT(Inventory_Data!I31),0)</f>
        <v>71</v>
      </c>
      <c r="O31" s="13">
        <f>ROUND((Inventory_Data!K31*Inventory_Data!I31)+Calculation!$A$7,0)</f>
        <v>1094</v>
      </c>
      <c r="P31" s="22">
        <f>((Inventory_Data!J31/2*Inventory_Data!E31*Inventory_Data!G31)+(Inventory_Data!D31/Inventory_Data!J31*Inventory_Data!F31))</f>
        <v>10775</v>
      </c>
      <c r="Q31" s="22">
        <f>((Calculation!$A$3/2*Inventory_Data!E31*Inventory_Data!G31)+(Inventory_Data!D31/Calculation!$A$3*Inventory_Data!F31))</f>
        <v>18023.896247412766</v>
      </c>
      <c r="R31" s="12">
        <f t="shared" si="0"/>
        <v>-7248.8962474127657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A790-AE4C-4E12-9677-DAC58547570B}">
  <dimension ref="A1:L22"/>
  <sheetViews>
    <sheetView workbookViewId="0">
      <selection activeCell="A21" sqref="A21"/>
    </sheetView>
  </sheetViews>
  <sheetFormatPr defaultRowHeight="13.8" x14ac:dyDescent="0.25"/>
  <cols>
    <col min="1" max="1" width="10.5546875" style="2" bestFit="1" customWidth="1"/>
    <col min="2" max="16384" width="8.88671875" style="2"/>
  </cols>
  <sheetData>
    <row r="1" spans="1:12" x14ac:dyDescent="0.25">
      <c r="A1" s="17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" t="s">
        <v>76</v>
      </c>
    </row>
    <row r="3" spans="1:12" x14ac:dyDescent="0.25">
      <c r="A3" s="3">
        <f>SQRT((2*Inventory_Data!D2*Inventory_Data!F2)/(Inventory_Data!E2*Inventory_Data!G2))</f>
        <v>619.6773353931867</v>
      </c>
      <c r="C3" s="2" t="s">
        <v>77</v>
      </c>
    </row>
    <row r="4" spans="1:12" x14ac:dyDescent="0.25">
      <c r="A4" s="4"/>
    </row>
    <row r="6" spans="1:12" x14ac:dyDescent="0.25">
      <c r="A6" s="1" t="s">
        <v>78</v>
      </c>
    </row>
    <row r="7" spans="1:12" x14ac:dyDescent="0.25">
      <c r="A7" s="2">
        <f>ROUND(1.65*Inventory_Data!L2*SQRT(Inventory_Data!I2),0)</f>
        <v>59</v>
      </c>
      <c r="C7" s="2" t="s">
        <v>79</v>
      </c>
    </row>
    <row r="10" spans="1:12" x14ac:dyDescent="0.25">
      <c r="A10" s="1" t="s">
        <v>80</v>
      </c>
    </row>
    <row r="11" spans="1:12" x14ac:dyDescent="0.25">
      <c r="A11" s="2">
        <f>ROUND((Inventory_Data!K2*Inventory_Data!I2)+A7,0)</f>
        <v>1371</v>
      </c>
      <c r="C11" s="2" t="s">
        <v>81</v>
      </c>
    </row>
    <row r="14" spans="1:12" x14ac:dyDescent="0.25">
      <c r="A14" s="1" t="s">
        <v>82</v>
      </c>
    </row>
    <row r="15" spans="1:12" x14ac:dyDescent="0.25">
      <c r="A15" s="1" t="s">
        <v>83</v>
      </c>
      <c r="D15" s="2" t="s">
        <v>84</v>
      </c>
    </row>
    <row r="16" spans="1:12" x14ac:dyDescent="0.25">
      <c r="A16" s="3">
        <f>((Inventory_Data!J2/2*Inventory_Data!E2*Inventory_Data!G2)+(Inventory_Data!D2/Inventory_Data!J2*Inventory_Data!F2))</f>
        <v>4937.5</v>
      </c>
    </row>
    <row r="18" spans="1:4" x14ac:dyDescent="0.25">
      <c r="A18" s="1" t="s">
        <v>85</v>
      </c>
      <c r="D18" s="2" t="s">
        <v>86</v>
      </c>
    </row>
    <row r="19" spans="1:4" x14ac:dyDescent="0.25">
      <c r="A19" s="3">
        <f>((Calculation!A3/2*Inventory_Data!E2*Inventory_Data!G2)+(Inventory_Data!D2/Calculation!A3*Inventory_Data!F2))</f>
        <v>3872.9833462074166</v>
      </c>
    </row>
    <row r="21" spans="1:4" x14ac:dyDescent="0.25">
      <c r="A21" s="1" t="s">
        <v>87</v>
      </c>
      <c r="D21" s="2" t="s">
        <v>88</v>
      </c>
    </row>
    <row r="22" spans="1:4" x14ac:dyDescent="0.25">
      <c r="A22" s="3">
        <f>A16-A19</f>
        <v>1064.5166537925834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25311-E9C2-4945-B182-B9445B4A1649}">
  <dimension ref="A1:K39"/>
  <sheetViews>
    <sheetView tabSelected="1" zoomScaleNormal="100" workbookViewId="0"/>
  </sheetViews>
  <sheetFormatPr defaultRowHeight="13.8" x14ac:dyDescent="0.25"/>
  <cols>
    <col min="1" max="1" width="8.88671875" style="2"/>
    <col min="2" max="2" width="9" style="2" bestFit="1" customWidth="1"/>
    <col min="3" max="3" width="8.44140625" style="2" bestFit="1" customWidth="1"/>
    <col min="4" max="6" width="8.88671875" style="2"/>
    <col min="7" max="7" width="8.5546875" style="2" customWidth="1"/>
    <col min="8" max="10" width="8.88671875" style="2"/>
    <col min="11" max="11" width="14.109375" style="2" bestFit="1" customWidth="1"/>
    <col min="12" max="12" width="14.21875" style="2" customWidth="1"/>
    <col min="13" max="13" width="15.21875" style="2" customWidth="1"/>
    <col min="14" max="14" width="12" style="2" customWidth="1"/>
    <col min="15" max="16384" width="8.88671875" style="2"/>
  </cols>
  <sheetData>
    <row r="1" spans="1:11" x14ac:dyDescent="0.25">
      <c r="A1" s="1" t="s">
        <v>106</v>
      </c>
      <c r="B1" s="1"/>
    </row>
    <row r="2" spans="1:11" x14ac:dyDescent="0.25">
      <c r="A2" s="9"/>
      <c r="B2" s="9"/>
    </row>
    <row r="3" spans="1:11" x14ac:dyDescent="0.25">
      <c r="A3" s="10" t="s">
        <v>100</v>
      </c>
      <c r="B3" s="10"/>
    </row>
    <row r="4" spans="1:11" x14ac:dyDescent="0.25">
      <c r="A4" s="10" t="s">
        <v>101</v>
      </c>
      <c r="B4" s="10"/>
    </row>
    <row r="5" spans="1:11" x14ac:dyDescent="0.25">
      <c r="A5" s="10" t="s">
        <v>102</v>
      </c>
      <c r="B5" s="10"/>
    </row>
    <row r="8" spans="1:11" ht="41.4" x14ac:dyDescent="0.25">
      <c r="A8" s="7" t="s">
        <v>0</v>
      </c>
      <c r="B8" s="7" t="s">
        <v>1</v>
      </c>
      <c r="C8" s="7" t="s">
        <v>3</v>
      </c>
      <c r="D8" s="7" t="s">
        <v>4</v>
      </c>
      <c r="E8" s="7" t="s">
        <v>95</v>
      </c>
      <c r="F8" s="7" t="s">
        <v>96</v>
      </c>
      <c r="G8" s="7" t="s">
        <v>97</v>
      </c>
      <c r="H8" s="7" t="s">
        <v>98</v>
      </c>
      <c r="I8" s="16" t="s">
        <v>99</v>
      </c>
      <c r="J8" s="16"/>
      <c r="K8" s="15" t="s">
        <v>95</v>
      </c>
    </row>
    <row r="9" spans="1:11" x14ac:dyDescent="0.25">
      <c r="A9" s="8" t="s">
        <v>36</v>
      </c>
      <c r="B9" s="8" t="s">
        <v>37</v>
      </c>
      <c r="C9" s="8">
        <v>4000</v>
      </c>
      <c r="D9" s="8">
        <v>450</v>
      </c>
      <c r="E9" s="11">
        <f t="shared" ref="E9:E38" si="0">C9*D9</f>
        <v>1800000</v>
      </c>
      <c r="F9" s="11">
        <f>E9</f>
        <v>1800000</v>
      </c>
      <c r="G9" s="12">
        <f>(F9/$E$39)*100</f>
        <v>11.008837650224763</v>
      </c>
      <c r="H9" s="13" t="str">
        <f>IF(G9&lt;=70,"A",IF(G9&lt;=90,"B","C"))</f>
        <v>A</v>
      </c>
      <c r="I9" s="14" t="s">
        <v>103</v>
      </c>
      <c r="J9" s="14">
        <f>COUNTIF(H9:H38,"A")</f>
        <v>13</v>
      </c>
      <c r="K9" s="11">
        <f>ROUND(E9/100000,1)</f>
        <v>18</v>
      </c>
    </row>
    <row r="10" spans="1:11" ht="27.6" x14ac:dyDescent="0.25">
      <c r="A10" s="8" t="s">
        <v>70</v>
      </c>
      <c r="B10" s="8" t="s">
        <v>71</v>
      </c>
      <c r="C10" s="8">
        <v>2900</v>
      </c>
      <c r="D10" s="8">
        <v>420</v>
      </c>
      <c r="E10" s="11">
        <f t="shared" si="0"/>
        <v>1218000</v>
      </c>
      <c r="F10" s="11">
        <f t="shared" ref="F10:F38" si="1">F9+E10</f>
        <v>3018000</v>
      </c>
      <c r="G10" s="12">
        <f t="shared" ref="G10:G38" si="2">(F10/$E$39)*100</f>
        <v>18.458151126876853</v>
      </c>
      <c r="H10" s="13" t="str">
        <f t="shared" ref="H10:H38" si="3">IF(G10&lt;=70,"A",IF(G10&lt;=90,"B","C"))</f>
        <v>A</v>
      </c>
      <c r="I10" s="14" t="s">
        <v>104</v>
      </c>
      <c r="J10" s="14">
        <f>COUNTIF(H9:H38,"B")</f>
        <v>9</v>
      </c>
      <c r="K10" s="11">
        <f t="shared" ref="K10:K38" si="4">ROUND(E10/100000,1)</f>
        <v>12.2</v>
      </c>
    </row>
    <row r="11" spans="1:11" ht="41.4" x14ac:dyDescent="0.25">
      <c r="A11" s="8" t="s">
        <v>32</v>
      </c>
      <c r="B11" s="8" t="s">
        <v>33</v>
      </c>
      <c r="C11" s="8">
        <v>3500</v>
      </c>
      <c r="D11" s="8">
        <v>320</v>
      </c>
      <c r="E11" s="11">
        <f t="shared" si="0"/>
        <v>1120000</v>
      </c>
      <c r="F11" s="11">
        <f t="shared" si="1"/>
        <v>4138000</v>
      </c>
      <c r="G11" s="12">
        <f t="shared" si="2"/>
        <v>25.308094553683375</v>
      </c>
      <c r="H11" s="13" t="str">
        <f t="shared" si="3"/>
        <v>A</v>
      </c>
      <c r="I11" s="14" t="s">
        <v>105</v>
      </c>
      <c r="J11" s="14">
        <f>COUNTIF(H9:H38,"C")</f>
        <v>8</v>
      </c>
      <c r="K11" s="11">
        <f t="shared" si="4"/>
        <v>11.2</v>
      </c>
    </row>
    <row r="12" spans="1:11" ht="27.6" x14ac:dyDescent="0.25">
      <c r="A12" s="8" t="s">
        <v>23</v>
      </c>
      <c r="B12" s="8" t="s">
        <v>24</v>
      </c>
      <c r="C12" s="8">
        <v>7000</v>
      </c>
      <c r="D12" s="8">
        <v>150</v>
      </c>
      <c r="E12" s="11">
        <f t="shared" si="0"/>
        <v>1050000</v>
      </c>
      <c r="F12" s="11">
        <f t="shared" si="1"/>
        <v>5188000</v>
      </c>
      <c r="G12" s="12">
        <f t="shared" si="2"/>
        <v>31.729916516314489</v>
      </c>
      <c r="H12" s="13" t="str">
        <f t="shared" si="3"/>
        <v>A</v>
      </c>
      <c r="I12" s="11"/>
      <c r="J12" s="11"/>
      <c r="K12" s="11">
        <f t="shared" si="4"/>
        <v>10.5</v>
      </c>
    </row>
    <row r="13" spans="1:11" ht="27.6" x14ac:dyDescent="0.25">
      <c r="A13" s="8" t="s">
        <v>66</v>
      </c>
      <c r="B13" s="8" t="s">
        <v>67</v>
      </c>
      <c r="C13" s="8">
        <v>2400</v>
      </c>
      <c r="D13" s="8">
        <v>380</v>
      </c>
      <c r="E13" s="11">
        <f t="shared" si="0"/>
        <v>912000</v>
      </c>
      <c r="F13" s="11">
        <f t="shared" si="1"/>
        <v>6100000</v>
      </c>
      <c r="G13" s="12">
        <f t="shared" si="2"/>
        <v>37.307727592428364</v>
      </c>
      <c r="H13" s="13" t="str">
        <f t="shared" si="3"/>
        <v>A</v>
      </c>
      <c r="I13" s="11"/>
      <c r="J13" s="11"/>
      <c r="K13" s="11">
        <f t="shared" si="4"/>
        <v>9.1</v>
      </c>
    </row>
    <row r="14" spans="1:11" ht="27.6" x14ac:dyDescent="0.25">
      <c r="A14" s="8" t="s">
        <v>64</v>
      </c>
      <c r="B14" s="8" t="s">
        <v>65</v>
      </c>
      <c r="C14" s="8">
        <v>5800</v>
      </c>
      <c r="D14" s="8">
        <v>145</v>
      </c>
      <c r="E14" s="11">
        <f t="shared" si="0"/>
        <v>841000</v>
      </c>
      <c r="F14" s="11">
        <f t="shared" si="1"/>
        <v>6941000</v>
      </c>
      <c r="G14" s="12">
        <f t="shared" si="2"/>
        <v>42.451301183450049</v>
      </c>
      <c r="H14" s="13" t="str">
        <f t="shared" si="3"/>
        <v>A</v>
      </c>
      <c r="I14" s="11"/>
      <c r="J14" s="11"/>
      <c r="K14" s="11">
        <f t="shared" si="4"/>
        <v>8.4</v>
      </c>
    </row>
    <row r="15" spans="1:11" x14ac:dyDescent="0.25">
      <c r="A15" s="8" t="s">
        <v>15</v>
      </c>
      <c r="B15" s="8" t="s">
        <v>16</v>
      </c>
      <c r="C15" s="8">
        <v>3000</v>
      </c>
      <c r="D15" s="8">
        <v>280</v>
      </c>
      <c r="E15" s="11">
        <f t="shared" si="0"/>
        <v>840000</v>
      </c>
      <c r="F15" s="11">
        <f t="shared" si="1"/>
        <v>7781000</v>
      </c>
      <c r="G15" s="12">
        <f t="shared" si="2"/>
        <v>47.588758753554941</v>
      </c>
      <c r="H15" s="13" t="str">
        <f t="shared" si="3"/>
        <v>A</v>
      </c>
      <c r="I15" s="11"/>
      <c r="J15" s="11"/>
      <c r="K15" s="11">
        <f t="shared" si="4"/>
        <v>8.4</v>
      </c>
    </row>
    <row r="16" spans="1:11" ht="27.6" x14ac:dyDescent="0.25">
      <c r="A16" s="8" t="s">
        <v>74</v>
      </c>
      <c r="B16" s="8" t="s">
        <v>75</v>
      </c>
      <c r="C16" s="8">
        <v>3300</v>
      </c>
      <c r="D16" s="8">
        <v>210</v>
      </c>
      <c r="E16" s="11">
        <f t="shared" si="0"/>
        <v>693000</v>
      </c>
      <c r="F16" s="11">
        <f t="shared" si="1"/>
        <v>8474000</v>
      </c>
      <c r="G16" s="12">
        <f t="shared" si="2"/>
        <v>51.827161248891471</v>
      </c>
      <c r="H16" s="13" t="str">
        <f t="shared" si="3"/>
        <v>A</v>
      </c>
      <c r="I16" s="11"/>
      <c r="J16" s="11"/>
      <c r="K16" s="11">
        <f t="shared" si="4"/>
        <v>6.9</v>
      </c>
    </row>
    <row r="17" spans="1:11" ht="41.4" x14ac:dyDescent="0.25">
      <c r="A17" s="8" t="s">
        <v>56</v>
      </c>
      <c r="B17" s="8" t="s">
        <v>57</v>
      </c>
      <c r="C17" s="8">
        <v>4600</v>
      </c>
      <c r="D17" s="8">
        <v>140</v>
      </c>
      <c r="E17" s="11">
        <f t="shared" si="0"/>
        <v>644000</v>
      </c>
      <c r="F17" s="11">
        <f t="shared" si="1"/>
        <v>9118000</v>
      </c>
      <c r="G17" s="12">
        <f t="shared" si="2"/>
        <v>55.765878719305221</v>
      </c>
      <c r="H17" s="13" t="str">
        <f t="shared" si="3"/>
        <v>A</v>
      </c>
      <c r="I17" s="11"/>
      <c r="J17" s="11"/>
      <c r="K17" s="11">
        <f t="shared" si="4"/>
        <v>6.4</v>
      </c>
    </row>
    <row r="18" spans="1:11" ht="27.6" x14ac:dyDescent="0.25">
      <c r="A18" s="8" t="s">
        <v>54</v>
      </c>
      <c r="B18" s="8" t="s">
        <v>55</v>
      </c>
      <c r="C18" s="8">
        <v>3600</v>
      </c>
      <c r="D18" s="8">
        <v>165</v>
      </c>
      <c r="E18" s="11">
        <f t="shared" si="0"/>
        <v>594000</v>
      </c>
      <c r="F18" s="11">
        <f t="shared" si="1"/>
        <v>9712000</v>
      </c>
      <c r="G18" s="12">
        <f t="shared" si="2"/>
        <v>59.39879514387939</v>
      </c>
      <c r="H18" s="13" t="str">
        <f t="shared" si="3"/>
        <v>A</v>
      </c>
      <c r="I18" s="11"/>
      <c r="J18" s="11"/>
      <c r="K18" s="11">
        <f t="shared" si="4"/>
        <v>5.9</v>
      </c>
    </row>
    <row r="19" spans="1:11" ht="41.4" x14ac:dyDescent="0.25">
      <c r="A19" s="8" t="s">
        <v>58</v>
      </c>
      <c r="B19" s="8" t="s">
        <v>59</v>
      </c>
      <c r="C19" s="8">
        <v>2200</v>
      </c>
      <c r="D19" s="8">
        <v>250</v>
      </c>
      <c r="E19" s="11">
        <f t="shared" si="0"/>
        <v>550000</v>
      </c>
      <c r="F19" s="11">
        <f t="shared" si="1"/>
        <v>10262000</v>
      </c>
      <c r="G19" s="12">
        <f t="shared" si="2"/>
        <v>62.76260664811474</v>
      </c>
      <c r="H19" s="13" t="str">
        <f t="shared" si="3"/>
        <v>A</v>
      </c>
      <c r="I19" s="11"/>
      <c r="J19" s="11"/>
      <c r="K19" s="11">
        <f t="shared" si="4"/>
        <v>5.5</v>
      </c>
    </row>
    <row r="20" spans="1:11" ht="27.6" x14ac:dyDescent="0.25">
      <c r="A20" s="8" t="s">
        <v>18</v>
      </c>
      <c r="B20" s="8" t="s">
        <v>19</v>
      </c>
      <c r="C20" s="8">
        <v>4500</v>
      </c>
      <c r="D20" s="8">
        <v>120</v>
      </c>
      <c r="E20" s="11">
        <f t="shared" si="0"/>
        <v>540000</v>
      </c>
      <c r="F20" s="11">
        <f t="shared" si="1"/>
        <v>10802000</v>
      </c>
      <c r="G20" s="12">
        <f t="shared" si="2"/>
        <v>66.065257943182161</v>
      </c>
      <c r="H20" s="13" t="str">
        <f t="shared" si="3"/>
        <v>A</v>
      </c>
      <c r="I20" s="11"/>
      <c r="J20" s="11"/>
      <c r="K20" s="11">
        <f t="shared" si="4"/>
        <v>5.4</v>
      </c>
    </row>
    <row r="21" spans="1:11" ht="41.4" x14ac:dyDescent="0.25">
      <c r="A21" s="8" t="s">
        <v>42</v>
      </c>
      <c r="B21" s="8" t="s">
        <v>43</v>
      </c>
      <c r="C21" s="8">
        <v>2800</v>
      </c>
      <c r="D21" s="8">
        <v>180</v>
      </c>
      <c r="E21" s="11">
        <f t="shared" si="0"/>
        <v>504000</v>
      </c>
      <c r="F21" s="11">
        <f t="shared" si="1"/>
        <v>11306000</v>
      </c>
      <c r="G21" s="12">
        <f t="shared" si="2"/>
        <v>69.147732485245101</v>
      </c>
      <c r="H21" s="13" t="str">
        <f t="shared" si="3"/>
        <v>A</v>
      </c>
      <c r="I21" s="11"/>
      <c r="J21" s="11"/>
      <c r="K21" s="11">
        <f t="shared" si="4"/>
        <v>5</v>
      </c>
    </row>
    <row r="22" spans="1:11" ht="27.6" x14ac:dyDescent="0.25">
      <c r="A22" s="8" t="s">
        <v>20</v>
      </c>
      <c r="B22" s="8" t="s">
        <v>21</v>
      </c>
      <c r="C22" s="8">
        <v>5000</v>
      </c>
      <c r="D22" s="8">
        <v>90</v>
      </c>
      <c r="E22" s="11">
        <f t="shared" si="0"/>
        <v>450000</v>
      </c>
      <c r="F22" s="11">
        <f t="shared" si="1"/>
        <v>11756000</v>
      </c>
      <c r="G22" s="12">
        <f t="shared" si="2"/>
        <v>71.899941897801284</v>
      </c>
      <c r="H22" s="13" t="str">
        <f t="shared" si="3"/>
        <v>B</v>
      </c>
      <c r="I22" s="11"/>
      <c r="J22" s="11"/>
      <c r="K22" s="11">
        <f t="shared" si="4"/>
        <v>4.5</v>
      </c>
    </row>
    <row r="23" spans="1:11" ht="27.6" x14ac:dyDescent="0.25">
      <c r="A23" s="8" t="s">
        <v>50</v>
      </c>
      <c r="B23" s="8" t="s">
        <v>51</v>
      </c>
      <c r="C23" s="8">
        <v>3200</v>
      </c>
      <c r="D23" s="8">
        <v>130</v>
      </c>
      <c r="E23" s="11">
        <f t="shared" si="0"/>
        <v>416000</v>
      </c>
      <c r="F23" s="11">
        <f t="shared" si="1"/>
        <v>12172000</v>
      </c>
      <c r="G23" s="12">
        <f t="shared" si="2"/>
        <v>74.444206599186572</v>
      </c>
      <c r="H23" s="13" t="str">
        <f t="shared" si="3"/>
        <v>B</v>
      </c>
      <c r="I23" s="11"/>
      <c r="J23" s="11"/>
      <c r="K23" s="11">
        <f t="shared" si="4"/>
        <v>4.2</v>
      </c>
    </row>
    <row r="24" spans="1:11" ht="27.6" x14ac:dyDescent="0.25">
      <c r="A24" s="8" t="s">
        <v>48</v>
      </c>
      <c r="B24" s="8" t="s">
        <v>49</v>
      </c>
      <c r="C24" s="8">
        <v>2000</v>
      </c>
      <c r="D24" s="8">
        <v>200</v>
      </c>
      <c r="E24" s="11">
        <f t="shared" si="0"/>
        <v>400000</v>
      </c>
      <c r="F24" s="11">
        <f t="shared" si="1"/>
        <v>12572000</v>
      </c>
      <c r="G24" s="12">
        <f t="shared" si="2"/>
        <v>76.890614965903183</v>
      </c>
      <c r="H24" s="13" t="str">
        <f t="shared" si="3"/>
        <v>B</v>
      </c>
      <c r="I24" s="11"/>
      <c r="J24" s="11"/>
      <c r="K24" s="11">
        <f t="shared" si="4"/>
        <v>4</v>
      </c>
    </row>
    <row r="25" spans="1:11" ht="41.4" x14ac:dyDescent="0.25">
      <c r="A25" s="8" t="s">
        <v>52</v>
      </c>
      <c r="B25" s="8" t="s">
        <v>53</v>
      </c>
      <c r="C25" s="8">
        <v>4200</v>
      </c>
      <c r="D25" s="8">
        <v>95</v>
      </c>
      <c r="E25" s="11">
        <f t="shared" si="0"/>
        <v>399000</v>
      </c>
      <c r="F25" s="11">
        <f t="shared" si="1"/>
        <v>12971000</v>
      </c>
      <c r="G25" s="12">
        <f t="shared" si="2"/>
        <v>79.330907311703001</v>
      </c>
      <c r="H25" s="13" t="str">
        <f t="shared" si="3"/>
        <v>B</v>
      </c>
      <c r="I25" s="11"/>
      <c r="J25" s="11"/>
      <c r="K25" s="11">
        <f t="shared" si="4"/>
        <v>4</v>
      </c>
    </row>
    <row r="26" spans="1:11" ht="41.4" x14ac:dyDescent="0.25">
      <c r="A26" s="8" t="s">
        <v>60</v>
      </c>
      <c r="B26" s="8" t="s">
        <v>61</v>
      </c>
      <c r="C26" s="8">
        <v>3400</v>
      </c>
      <c r="D26" s="8">
        <v>110</v>
      </c>
      <c r="E26" s="11">
        <f t="shared" si="0"/>
        <v>374000</v>
      </c>
      <c r="F26" s="11">
        <f t="shared" si="1"/>
        <v>13345000</v>
      </c>
      <c r="G26" s="12">
        <f t="shared" si="2"/>
        <v>81.61829913458304</v>
      </c>
      <c r="H26" s="13" t="str">
        <f t="shared" si="3"/>
        <v>B</v>
      </c>
      <c r="I26" s="11"/>
      <c r="J26" s="11"/>
      <c r="K26" s="11">
        <f t="shared" si="4"/>
        <v>3.7</v>
      </c>
    </row>
    <row r="27" spans="1:11" ht="41.4" x14ac:dyDescent="0.25">
      <c r="A27" s="8" t="s">
        <v>34</v>
      </c>
      <c r="B27" s="8" t="s">
        <v>35</v>
      </c>
      <c r="C27" s="8">
        <v>4800</v>
      </c>
      <c r="D27" s="8">
        <v>75</v>
      </c>
      <c r="E27" s="11">
        <f t="shared" si="0"/>
        <v>360000</v>
      </c>
      <c r="F27" s="11">
        <f t="shared" si="1"/>
        <v>13705000</v>
      </c>
      <c r="G27" s="12">
        <f t="shared" si="2"/>
        <v>83.820066664627987</v>
      </c>
      <c r="H27" s="13" t="str">
        <f t="shared" si="3"/>
        <v>B</v>
      </c>
      <c r="I27" s="11"/>
      <c r="J27" s="11"/>
      <c r="K27" s="11">
        <f t="shared" si="4"/>
        <v>3.6</v>
      </c>
    </row>
    <row r="28" spans="1:11" ht="27.6" x14ac:dyDescent="0.25">
      <c r="A28" s="8" t="s">
        <v>25</v>
      </c>
      <c r="B28" s="8" t="s">
        <v>26</v>
      </c>
      <c r="C28" s="8">
        <v>5500</v>
      </c>
      <c r="D28" s="8">
        <v>60</v>
      </c>
      <c r="E28" s="11">
        <f t="shared" si="0"/>
        <v>330000</v>
      </c>
      <c r="F28" s="11">
        <f t="shared" si="1"/>
        <v>14035000</v>
      </c>
      <c r="G28" s="12">
        <f t="shared" si="2"/>
        <v>85.838353567169207</v>
      </c>
      <c r="H28" s="13" t="str">
        <f t="shared" si="3"/>
        <v>B</v>
      </c>
      <c r="I28" s="11"/>
      <c r="J28" s="11"/>
      <c r="K28" s="11">
        <f t="shared" si="4"/>
        <v>3.3</v>
      </c>
    </row>
    <row r="29" spans="1:11" x14ac:dyDescent="0.25">
      <c r="A29" s="8" t="s">
        <v>44</v>
      </c>
      <c r="B29" s="8" t="s">
        <v>45</v>
      </c>
      <c r="C29" s="8">
        <v>6500</v>
      </c>
      <c r="D29" s="8">
        <v>50</v>
      </c>
      <c r="E29" s="11">
        <f t="shared" si="0"/>
        <v>325000</v>
      </c>
      <c r="F29" s="11">
        <f t="shared" si="1"/>
        <v>14360000</v>
      </c>
      <c r="G29" s="12">
        <f t="shared" si="2"/>
        <v>87.826060365126452</v>
      </c>
      <c r="H29" s="13" t="str">
        <f t="shared" si="3"/>
        <v>B</v>
      </c>
      <c r="I29" s="11"/>
      <c r="J29" s="11"/>
      <c r="K29" s="11">
        <f t="shared" si="4"/>
        <v>3.3</v>
      </c>
    </row>
    <row r="30" spans="1:11" ht="41.4" x14ac:dyDescent="0.25">
      <c r="A30" s="8" t="s">
        <v>40</v>
      </c>
      <c r="B30" s="8" t="s">
        <v>41</v>
      </c>
      <c r="C30" s="8">
        <v>3800</v>
      </c>
      <c r="D30" s="8">
        <v>85</v>
      </c>
      <c r="E30" s="11">
        <f t="shared" si="0"/>
        <v>323000</v>
      </c>
      <c r="F30" s="11">
        <f t="shared" si="1"/>
        <v>14683000</v>
      </c>
      <c r="G30" s="12">
        <f t="shared" si="2"/>
        <v>89.801535121250126</v>
      </c>
      <c r="H30" s="13" t="str">
        <f t="shared" si="3"/>
        <v>B</v>
      </c>
      <c r="I30" s="11"/>
      <c r="J30" s="11"/>
      <c r="K30" s="11">
        <f t="shared" si="4"/>
        <v>3.2</v>
      </c>
    </row>
    <row r="31" spans="1:11" ht="27.6" x14ac:dyDescent="0.25">
      <c r="A31" s="8" t="s">
        <v>68</v>
      </c>
      <c r="B31" s="8" t="s">
        <v>69</v>
      </c>
      <c r="C31" s="8">
        <v>3100</v>
      </c>
      <c r="D31" s="8">
        <v>100</v>
      </c>
      <c r="E31" s="11">
        <f t="shared" si="0"/>
        <v>310000</v>
      </c>
      <c r="F31" s="11">
        <f t="shared" si="1"/>
        <v>14993000</v>
      </c>
      <c r="G31" s="12">
        <f t="shared" si="2"/>
        <v>91.697501605455486</v>
      </c>
      <c r="H31" s="13" t="str">
        <f t="shared" si="3"/>
        <v>C</v>
      </c>
      <c r="I31" s="11"/>
      <c r="J31" s="11"/>
      <c r="K31" s="11">
        <f t="shared" si="4"/>
        <v>3.1</v>
      </c>
    </row>
    <row r="32" spans="1:11" ht="41.4" x14ac:dyDescent="0.25">
      <c r="A32" s="8" t="s">
        <v>30</v>
      </c>
      <c r="B32" s="8" t="s">
        <v>31</v>
      </c>
      <c r="C32" s="8">
        <v>2500</v>
      </c>
      <c r="D32" s="8">
        <v>110</v>
      </c>
      <c r="E32" s="11">
        <f t="shared" si="0"/>
        <v>275000</v>
      </c>
      <c r="F32" s="11">
        <f t="shared" si="1"/>
        <v>15268000</v>
      </c>
      <c r="G32" s="12">
        <f t="shared" si="2"/>
        <v>93.379407357573157</v>
      </c>
      <c r="H32" s="13" t="str">
        <f t="shared" si="3"/>
        <v>C</v>
      </c>
      <c r="I32" s="11"/>
      <c r="J32" s="11"/>
      <c r="K32" s="11">
        <f t="shared" si="4"/>
        <v>2.8</v>
      </c>
    </row>
    <row r="33" spans="1:11" ht="27.6" x14ac:dyDescent="0.25">
      <c r="A33" s="8" t="s">
        <v>27</v>
      </c>
      <c r="B33" s="8" t="s">
        <v>28</v>
      </c>
      <c r="C33" s="8">
        <v>8000</v>
      </c>
      <c r="D33" s="8">
        <v>30</v>
      </c>
      <c r="E33" s="11">
        <f t="shared" si="0"/>
        <v>240000</v>
      </c>
      <c r="F33" s="11">
        <f t="shared" si="1"/>
        <v>15508000</v>
      </c>
      <c r="G33" s="12">
        <f t="shared" si="2"/>
        <v>94.847252377603127</v>
      </c>
      <c r="H33" s="13" t="str">
        <f t="shared" si="3"/>
        <v>C</v>
      </c>
      <c r="I33" s="11"/>
      <c r="J33" s="11"/>
      <c r="K33" s="11">
        <f t="shared" si="4"/>
        <v>2.4</v>
      </c>
    </row>
    <row r="34" spans="1:11" ht="27.6" x14ac:dyDescent="0.25">
      <c r="A34" s="8" t="s">
        <v>72</v>
      </c>
      <c r="B34" s="8" t="s">
        <v>73</v>
      </c>
      <c r="C34" s="8">
        <v>4100</v>
      </c>
      <c r="D34" s="8">
        <v>55</v>
      </c>
      <c r="E34" s="11">
        <f t="shared" si="0"/>
        <v>225500</v>
      </c>
      <c r="F34" s="11">
        <f t="shared" si="1"/>
        <v>15733500</v>
      </c>
      <c r="G34" s="12">
        <f t="shared" si="2"/>
        <v>96.226415094339629</v>
      </c>
      <c r="H34" s="13" t="str">
        <f t="shared" si="3"/>
        <v>C</v>
      </c>
      <c r="I34" s="11"/>
      <c r="J34" s="11"/>
      <c r="K34" s="11">
        <f t="shared" si="4"/>
        <v>2.2999999999999998</v>
      </c>
    </row>
    <row r="35" spans="1:11" ht="41.4" x14ac:dyDescent="0.25">
      <c r="A35" s="8" t="s">
        <v>62</v>
      </c>
      <c r="B35" s="8" t="s">
        <v>63</v>
      </c>
      <c r="C35" s="8">
        <v>2600</v>
      </c>
      <c r="D35" s="8">
        <v>70</v>
      </c>
      <c r="E35" s="11">
        <f t="shared" si="0"/>
        <v>182000</v>
      </c>
      <c r="F35" s="11">
        <f t="shared" si="1"/>
        <v>15915500</v>
      </c>
      <c r="G35" s="12">
        <f t="shared" si="2"/>
        <v>97.339530901195687</v>
      </c>
      <c r="H35" s="13" t="str">
        <f t="shared" si="3"/>
        <v>C</v>
      </c>
      <c r="I35" s="11"/>
      <c r="J35" s="11"/>
      <c r="K35" s="11">
        <f t="shared" si="4"/>
        <v>1.8</v>
      </c>
    </row>
    <row r="36" spans="1:11" ht="27.6" x14ac:dyDescent="0.25">
      <c r="A36" s="8" t="s">
        <v>12</v>
      </c>
      <c r="B36" s="8" t="s">
        <v>13</v>
      </c>
      <c r="C36" s="8">
        <v>6000</v>
      </c>
      <c r="D36" s="8">
        <v>25</v>
      </c>
      <c r="E36" s="11">
        <f t="shared" si="0"/>
        <v>150000</v>
      </c>
      <c r="F36" s="11">
        <f t="shared" si="1"/>
        <v>16065500</v>
      </c>
      <c r="G36" s="12">
        <f t="shared" si="2"/>
        <v>98.256934038714419</v>
      </c>
      <c r="H36" s="13" t="str">
        <f t="shared" si="3"/>
        <v>C</v>
      </c>
      <c r="I36" s="11"/>
      <c r="J36" s="11"/>
      <c r="K36" s="11">
        <f t="shared" si="4"/>
        <v>1.5</v>
      </c>
    </row>
    <row r="37" spans="1:11" ht="27.6" x14ac:dyDescent="0.25">
      <c r="A37" s="8" t="s">
        <v>38</v>
      </c>
      <c r="B37" s="8" t="s">
        <v>39</v>
      </c>
      <c r="C37" s="8">
        <v>7500</v>
      </c>
      <c r="D37" s="8">
        <v>20</v>
      </c>
      <c r="E37" s="11">
        <f t="shared" si="0"/>
        <v>150000</v>
      </c>
      <c r="F37" s="11">
        <f t="shared" si="1"/>
        <v>16215500</v>
      </c>
      <c r="G37" s="12">
        <f t="shared" si="2"/>
        <v>99.174337176233138</v>
      </c>
      <c r="H37" s="13" t="str">
        <f t="shared" si="3"/>
        <v>C</v>
      </c>
      <c r="I37" s="11"/>
      <c r="J37" s="11"/>
      <c r="K37" s="11">
        <f t="shared" si="4"/>
        <v>1.5</v>
      </c>
    </row>
    <row r="38" spans="1:11" ht="27.6" x14ac:dyDescent="0.25">
      <c r="A38" s="8" t="s">
        <v>46</v>
      </c>
      <c r="B38" s="8" t="s">
        <v>47</v>
      </c>
      <c r="C38" s="8">
        <v>9000</v>
      </c>
      <c r="D38" s="8">
        <v>15</v>
      </c>
      <c r="E38" s="11">
        <f t="shared" si="0"/>
        <v>135000</v>
      </c>
      <c r="F38" s="11">
        <f t="shared" si="1"/>
        <v>16350500</v>
      </c>
      <c r="G38" s="12">
        <f t="shared" si="2"/>
        <v>100</v>
      </c>
      <c r="H38" s="13" t="str">
        <f t="shared" si="3"/>
        <v>C</v>
      </c>
      <c r="I38" s="11"/>
      <c r="J38" s="11"/>
      <c r="K38" s="11">
        <f t="shared" si="4"/>
        <v>1.4</v>
      </c>
    </row>
    <row r="39" spans="1:11" x14ac:dyDescent="0.25">
      <c r="E39" s="11">
        <f>SUM(E9:E38)</f>
        <v>16350500</v>
      </c>
      <c r="H39" s="6"/>
    </row>
  </sheetData>
  <sortState xmlns:xlrd2="http://schemas.microsoft.com/office/spreadsheetml/2017/richdata2" ref="A9:E38">
    <sortCondition descending="1" ref="E9:E38"/>
  </sortState>
  <mergeCells count="1">
    <mergeCell ref="I8:J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Inventory_Data</vt:lpstr>
      <vt:lpstr>Calculation</vt:lpstr>
      <vt:lpstr>ABC_Analysis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Rayan Pinto</dc:creator>
  <cp:lastModifiedBy>Colin Rayan Pinto</cp:lastModifiedBy>
  <cp:lastPrinted>2026-04-21T11:39:03Z</cp:lastPrinted>
  <dcterms:created xsi:type="dcterms:W3CDTF">2026-04-19T12:02:35Z</dcterms:created>
  <dcterms:modified xsi:type="dcterms:W3CDTF">2026-04-21T11:59:45Z</dcterms:modified>
</cp:coreProperties>
</file>